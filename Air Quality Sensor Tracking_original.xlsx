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comments6.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xl/drawings/drawing3.xml" ContentType="application/vnd.openxmlformats-officedocument.drawing+xml"/>
  <Override PartName="/xl/drawings/drawing4.xml" ContentType="application/vnd.openxmlformats-officedocument.drawing+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About" sheetId="1" state="visible" r:id="rId3"/>
    <sheet name="Community Displays" sheetId="2" state="visible" r:id="rId4"/>
    <sheet name="Cell References" sheetId="3" state="visible" r:id="rId5"/>
    <sheet name="PurpleAir Sensor Tracking" sheetId="4" state="visible" r:id="rId6"/>
    <sheet name="Installed Sensors" sheetId="5" state="visible" r:id="rId7"/>
    <sheet name="Weekly Sensor Checks" sheetId="6" state="visible" r:id="rId8"/>
    <sheet name="Deployment Log" sheetId="7" state="visible" r:id="rId9"/>
    <sheet name="Site Descriptions" sheetId="8" state="visible" r:id="rId10"/>
    <sheet name="Hotspot Tracking" sheetId="9" state="visible" r:id="rId11"/>
    <sheet name="AirBeam Sensor Tracking" sheetId="10" state="visible" r:id="rId12"/>
    <sheet name="Potential Opportunities" sheetId="11" state="visible" r:id="rId13"/>
    <sheet name="Signage Partners" sheetId="12" state="visible" r:id="rId14"/>
    <sheet name="Target Zip Codes" sheetId="13" state="visible" r:id="rId15"/>
    <sheet name="Collocation" sheetId="14" state="visible" r:id="rId16"/>
    <sheet name="Sheet1" sheetId="15" state="visible" r:id="rId17"/>
    <sheet name="ARCHIVE-OSU Sensor Naming" sheetId="16" state="visible" r:id="rId18"/>
    <sheet name="ARCHIVE-OSU Sensors - Return" sheetId="17" state="visible" r:id="rId19"/>
    <sheet name="ARCHIVE-OSU Sensor Info OLD" sheetId="18" state="visible" r:id="rId20"/>
  </sheets>
  <definedNames>
    <definedName function="false" hidden="true" localSheetId="6" name="_xlnm._FilterDatabase" vbProcedure="false">'Deployment Log'!$A$2:$M$206</definedName>
    <definedName function="false" hidden="true" localSheetId="14" name="_xlnm._FilterDatabase" vbProcedure="false">Sheet1!$A$1:$C$67</definedName>
    <definedName function="false" hidden="true" localSheetId="7" name="_xlnm._FilterDatabase" vbProcedure="false">'Site Descriptions'!$A$1:$AA$69</definedName>
    <definedName function="false" hidden="true" localSheetId="5" name="_xlnm._FilterDatabase" vbProcedure="false">'Weekly Sensor Checks'!$A$1:$EV$41</definedName>
  </definedNames>
  <calcPr iterateCount="100" refMode="A1" iterate="false" iterateDelta="0.0001"/>
  <extLst>
    <ext xmlns:loext="http://schemas.libreoffice.org/" uri="{7626C862-2A13-11E5-B345-FEFF819CDC9F}">
      <loext:extCalcPr stringRefSyntax="ExcelA1"/>
    </ext>
  </extLst>
</workbook>
</file>

<file path=xl/comments6.xml><?xml version="1.0" encoding="utf-8"?>
<comments xmlns="http://schemas.openxmlformats.org/spreadsheetml/2006/main" xmlns:xdr="http://schemas.openxmlformats.org/drawingml/2006/spreadsheetDrawing">
  <authors>
    <author>Unknown Author</author>
  </authors>
  <commentList>
    <comment ref="E10" authorId="0">
      <text>
        <r>
          <rPr>
            <sz val="10"/>
            <rFont val="Arial"/>
            <family val="2"/>
          </rPr>
          <t xml:space="preserve">T/RH sensor might be broken
	-Carl Malings</t>
        </r>
      </text>
    </comment>
    <comment ref="F2" authorId="0">
      <text>
        <r>
          <rPr>
            <sz val="10"/>
            <rFont val="Arial"/>
            <family val="2"/>
          </rPr>
          <t xml:space="preserve">Going this week to replace monitor</t>
        </r>
      </text>
    </comment>
    <comment ref="F22" authorId="0">
      <text>
        <r>
          <rPr>
            <sz val="10"/>
            <rFont val="Arial"/>
            <family val="2"/>
          </rPr>
          <t xml:space="preserve">Dropped off a lot on Saturday 2/26</t>
        </r>
      </text>
    </comment>
    <comment ref="H15" authorId="0">
      <text>
        <r>
          <rPr>
            <sz val="10"/>
            <rFont val="Arial"/>
            <family val="2"/>
          </rPr>
          <t xml:space="preserve">Current status not received for 6 days</t>
        </r>
      </text>
    </comment>
    <comment ref="I5" authorId="0">
      <text>
        <r>
          <rPr>
            <sz val="10"/>
            <rFont val="Arial"/>
            <family val="2"/>
          </rPr>
          <t xml:space="preserve">Dropped off a lot on Saturday 2/26
----
Dropped off sometimes over the weekend
	-Anna Oestreich</t>
        </r>
      </text>
    </comment>
    <comment ref="I15" authorId="0">
      <text>
        <r>
          <rPr>
            <sz val="10"/>
            <rFont val="Arial"/>
            <family val="2"/>
          </rPr>
          <t xml:space="preserve">Current status not received for 6 days
----
Dot has left the map?
	-Anna Oestreich</t>
        </r>
      </text>
    </comment>
    <comment ref="I21" authorId="0">
      <text>
        <r>
          <rPr>
            <sz val="10"/>
            <rFont val="Arial"/>
            <family val="2"/>
          </rPr>
          <t xml:space="preserve">Current status not received for 24 hrs, but came back up on 3/22
	-Anna Oestreich</t>
        </r>
      </text>
    </comment>
    <comment ref="J5" authorId="0">
      <text>
        <r>
          <rPr>
            <sz val="10"/>
            <rFont val="Arial"/>
            <family val="2"/>
          </rPr>
          <t xml:space="preserve">Dropped off a bit 3/22-3/26
	-Anna Oestreich</t>
        </r>
      </text>
    </comment>
    <comment ref="J15" authorId="0">
      <text>
        <r>
          <rPr>
            <sz val="10"/>
            <rFont val="Arial"/>
            <family val="2"/>
          </rPr>
          <t xml:space="preserve">Current status not received for 6 days</t>
        </r>
      </text>
    </comment>
    <comment ref="L18" authorId="0">
      <text>
        <r>
          <rPr>
            <sz val="10"/>
            <rFont val="Arial"/>
            <family val="2"/>
          </rPr>
          <t xml:space="preserve">Dropped of 4/10 &amp; 4/11, but came back 4/12
	-Anna Oestreich</t>
        </r>
      </text>
    </comment>
    <comment ref="O5" authorId="0">
      <text>
        <r>
          <rPr>
            <sz val="10"/>
            <rFont val="Arial"/>
            <family val="2"/>
          </rPr>
          <t xml:space="preserve">dropped off 4/25, 4/26, 4/28, 4/29, 4/30, 5/1. Readings were good on 5/2 @ 8:30am when checked.
	-Layla Abraham</t>
        </r>
      </text>
    </comment>
    <comment ref="O22" authorId="0">
      <text>
        <r>
          <rPr>
            <sz val="10"/>
            <rFont val="Arial"/>
            <family val="2"/>
          </rPr>
          <t xml:space="preserve">went down 4/25 &amp; 4/28 briefly but looked good when checked on 5/2 @ 9am
	-Layla Abraham</t>
        </r>
      </text>
    </comment>
    <comment ref="P5" authorId="0">
      <text>
        <r>
          <rPr>
            <sz val="10"/>
            <rFont val="Arial"/>
            <family val="2"/>
          </rPr>
          <t xml:space="preserve">Channels disagreeing quite a bit on 5/6, 5/8, 5/9
	-Layla Abraham</t>
        </r>
      </text>
    </comment>
    <comment ref="P11" authorId="0">
      <text>
        <r>
          <rPr>
            <sz val="10"/>
            <rFont val="Arial"/>
            <family val="2"/>
          </rPr>
          <t xml:space="preserve">Not showing up on the map anymore??
	-Layla Abraham</t>
        </r>
      </text>
    </comment>
    <comment ref="P15" authorId="0">
      <text>
        <r>
          <rPr>
            <sz val="10"/>
            <rFont val="Arial"/>
            <family val="2"/>
          </rPr>
          <t xml:space="preserve">Dropped off map 5/6, 5/7, 5/9
	-Layla Abraham</t>
        </r>
      </text>
    </comment>
    <comment ref="P16" authorId="0">
      <text>
        <r>
          <rPr>
            <sz val="10"/>
            <rFont val="Arial"/>
            <family val="2"/>
          </rPr>
          <t xml:space="preserve">Channels disagreeing quite a bit on 5/7
	-Layla Abraham</t>
        </r>
      </text>
    </comment>
    <comment ref="P25" authorId="0">
      <text>
        <r>
          <rPr>
            <sz val="10"/>
            <rFont val="Arial"/>
            <family val="2"/>
          </rPr>
          <t xml:space="preserve">Channels disagreeing quite a bit on 5/7
	-Layla Abraham</t>
        </r>
      </text>
    </comment>
    <comment ref="P26" authorId="0">
      <text>
        <r>
          <rPr>
            <sz val="10"/>
            <rFont val="Arial"/>
            <family val="2"/>
          </rPr>
          <t xml:space="preserve">Not showing up on the map anymore
	-Layla Abraham</t>
        </r>
      </text>
    </comment>
    <comment ref="P28" authorId="0">
      <text>
        <r>
          <rPr>
            <sz val="10"/>
            <rFont val="Arial"/>
            <family val="2"/>
          </rPr>
          <t xml:space="preserve">channels disagreeing quite a bit on 5/7
	-Layla Abraham</t>
        </r>
      </text>
    </comment>
    <comment ref="Q5" authorId="0">
      <text>
        <r>
          <rPr>
            <sz val="10"/>
            <rFont val="Arial"/>
            <family val="2"/>
          </rPr>
          <t xml:space="preserve">Channels severely disagreeing 5/17, 5/21
	-Layla Abraham</t>
        </r>
      </text>
    </comment>
    <comment ref="Q9" authorId="0">
      <text>
        <r>
          <rPr>
            <sz val="10"/>
            <rFont val="Arial"/>
            <family val="2"/>
          </rPr>
          <t xml:space="preserve">Went offline 5/20
	-Layla Abraham</t>
        </r>
      </text>
    </comment>
    <comment ref="Q11" authorId="0">
      <text>
        <r>
          <rPr>
            <sz val="10"/>
            <rFont val="Arial"/>
            <family val="2"/>
          </rPr>
          <t xml:space="preserve">Dropped off map entirely
	-Layla Abraham</t>
        </r>
      </text>
    </comment>
    <comment ref="Q14" authorId="0">
      <text>
        <r>
          <rPr>
            <sz val="10"/>
            <rFont val="Arial"/>
            <family val="2"/>
          </rPr>
          <t xml:space="preserve">Dropped off map 5/17, 5/20, 5/22
	-Layla Abraham</t>
        </r>
      </text>
    </comment>
    <comment ref="Q15" authorId="0">
      <text>
        <r>
          <rPr>
            <sz val="10"/>
            <rFont val="Arial"/>
            <family val="2"/>
          </rPr>
          <t xml:space="preserve">Dropped off map entirely
	-Layla Abraham</t>
        </r>
      </text>
    </comment>
    <comment ref="Q16" authorId="0">
      <text>
        <r>
          <rPr>
            <sz val="10"/>
            <rFont val="Arial"/>
            <family val="2"/>
          </rPr>
          <t xml:space="preserve">Went offline 5/21
	-Layla Abraham</t>
        </r>
      </text>
    </comment>
    <comment ref="Q26" authorId="0">
      <text>
        <r>
          <rPr>
            <sz val="10"/>
            <rFont val="Arial"/>
            <family val="2"/>
          </rPr>
          <t xml:space="preserve">Channels seems to be disagreeing a bit
	-Layla Abraham</t>
        </r>
      </text>
    </comment>
    <comment ref="R9" authorId="0">
      <text>
        <r>
          <rPr>
            <sz val="10"/>
            <rFont val="Arial"/>
            <family val="2"/>
          </rPr>
          <t xml:space="preserve">dropped off 5/26, 5/27
	-Layla Abraham</t>
        </r>
      </text>
    </comment>
    <comment ref="R14" authorId="0">
      <text>
        <r>
          <rPr>
            <sz val="10"/>
            <rFont val="Arial"/>
            <family val="2"/>
          </rPr>
          <t xml:space="preserve">dropped 5/25, 5/26, 5/29
	-Layla Abraham</t>
        </r>
      </text>
    </comment>
    <comment ref="R16" authorId="0">
      <text>
        <r>
          <rPr>
            <sz val="10"/>
            <rFont val="Arial"/>
            <family val="2"/>
          </rPr>
          <t xml:space="preserve">Offline for 19 hrs 23 mins
	-Layla Abraham</t>
        </r>
      </text>
    </comment>
    <comment ref="R22" authorId="0">
      <text>
        <r>
          <rPr>
            <sz val="10"/>
            <rFont val="Arial"/>
            <family val="2"/>
          </rPr>
          <t xml:space="preserve">dropped off map 5/24, 2/25, 5/27
	-Layla Abraham</t>
        </r>
      </text>
    </comment>
    <comment ref="R25" authorId="0">
      <text>
        <r>
          <rPr>
            <sz val="10"/>
            <rFont val="Arial"/>
            <family val="2"/>
          </rPr>
          <t xml:space="preserve">Massive jump to 1892 on 5/25
	-Layla Abraham</t>
        </r>
      </text>
    </comment>
    <comment ref="R26" authorId="0">
      <text>
        <r>
          <rPr>
            <sz val="10"/>
            <rFont val="Arial"/>
            <family val="2"/>
          </rPr>
          <t xml:space="preserve">Offline for 14 hours
	-Layla Abraham</t>
        </r>
      </text>
    </comment>
    <comment ref="S5" authorId="0">
      <text>
        <r>
          <rPr>
            <sz val="10"/>
            <rFont val="Arial"/>
            <family val="2"/>
          </rPr>
          <t xml:space="preserve">Have a reading on A channel of 1,713 on 6/8...all other readings seem normal
	-Layla Abraham</t>
        </r>
      </text>
    </comment>
    <comment ref="S9" authorId="0">
      <text>
        <r>
          <rPr>
            <sz val="10"/>
            <rFont val="Arial"/>
            <family val="2"/>
          </rPr>
          <t xml:space="preserve">Dropped off for 16hrs on 6/6-6/7/22
	-Layla Abraham</t>
        </r>
      </text>
    </comment>
    <comment ref="S11" authorId="0">
      <text>
        <r>
          <rPr>
            <sz val="10"/>
            <rFont val="Arial"/>
            <family val="2"/>
          </rPr>
          <t xml:space="preserve">Not showing up on map anymore
	-Layla Abraham</t>
        </r>
      </text>
    </comment>
    <comment ref="S15" authorId="0">
      <text>
        <r>
          <rPr>
            <sz val="10"/>
            <rFont val="Arial"/>
            <family val="2"/>
          </rPr>
          <t xml:space="preserve">Dropping off map quite a few times on 6/9/22
	-Layla Abraham</t>
        </r>
      </text>
    </comment>
    <comment ref="S16" authorId="0">
      <text>
        <r>
          <rPr>
            <sz val="10"/>
            <rFont val="Arial"/>
            <family val="2"/>
          </rPr>
          <t xml:space="preserve">offline for 2 days 16 hrs
	-Layla Abraham</t>
        </r>
      </text>
    </comment>
    <comment ref="S22" authorId="0">
      <text>
        <r>
          <rPr>
            <sz val="10"/>
            <rFont val="Arial"/>
            <family val="2"/>
          </rPr>
          <t xml:space="preserve">dropped off the map 6/7, 6/9, 6/10
	-Layla Abraham</t>
        </r>
      </text>
    </comment>
    <comment ref="S23" authorId="0">
      <text>
        <r>
          <rPr>
            <sz val="10"/>
            <rFont val="Arial"/>
            <family val="2"/>
          </rPr>
          <t xml:space="preserve">A Channel had a reading of 1,892 on 6/7, B Channel reading 37 at same time
	-Layla Abraham</t>
        </r>
      </text>
    </comment>
    <comment ref="T3" authorId="0">
      <text>
        <r>
          <rPr>
            <sz val="10"/>
            <rFont val="Arial"/>
            <family val="2"/>
          </rPr>
          <t xml:space="preserve">Disagreement between A &amp; B channel
	-Layla Abraham</t>
        </r>
      </text>
    </comment>
    <comment ref="T9" authorId="0">
      <text>
        <r>
          <rPr>
            <sz val="10"/>
            <rFont val="Arial"/>
            <family val="2"/>
          </rPr>
          <t xml:space="preserve">dropped off map 6/12, 6/13
	-Layla Abraham</t>
        </r>
      </text>
    </comment>
    <comment ref="T11" authorId="0">
      <text>
        <r>
          <rPr>
            <sz val="10"/>
            <rFont val="Arial"/>
            <family val="2"/>
          </rPr>
          <t xml:space="preserve">Off map...Layla going out Wednesday to relocate monitor
	-Layla Abraham</t>
        </r>
      </text>
    </comment>
    <comment ref="T15" authorId="0">
      <text>
        <r>
          <rPr>
            <sz val="10"/>
            <rFont val="Arial"/>
            <family val="2"/>
          </rPr>
          <t xml:space="preserve">Dropped off 6/10, 6/11, six times on 6/12
	-Layla Abraham</t>
        </r>
      </text>
    </comment>
    <comment ref="T16" authorId="0">
      <text>
        <r>
          <rPr>
            <sz val="10"/>
            <rFont val="Arial"/>
            <family val="2"/>
          </rPr>
          <t xml:space="preserve">Offline for 5 days 18 hr
	-Layla Abraham</t>
        </r>
      </text>
    </comment>
    <comment ref="T26" authorId="0">
      <text>
        <r>
          <rPr>
            <sz val="10"/>
            <rFont val="Arial"/>
            <family val="2"/>
          </rPr>
          <t xml:space="preserve">A &amp; B channels seem to be disagreeing quite a bit
	-Layla Abraham</t>
        </r>
      </text>
    </comment>
    <comment ref="U9" authorId="0">
      <text>
        <r>
          <rPr>
            <sz val="10"/>
            <rFont val="Arial"/>
            <family val="2"/>
          </rPr>
          <t xml:space="preserve">Offline bc I unplugged it last week when I was out hoping it would forget the current wifi network. going back tomorrow to work on it
	-Layla Abraham</t>
        </r>
      </text>
    </comment>
    <comment ref="U15" authorId="0">
      <text>
        <r>
          <rPr>
            <sz val="10"/>
            <rFont val="Arial"/>
            <family val="2"/>
          </rPr>
          <t xml:space="preserve">6/16 &amp; 6/17 dropped off the map many times each day
	-Layla Abraham</t>
        </r>
      </text>
    </comment>
    <comment ref="V16" authorId="0">
      <text>
        <r>
          <rPr>
            <sz val="10"/>
            <rFont val="Arial"/>
            <family val="2"/>
          </rPr>
          <t xml:space="preserve">Still offline - reached out to contact at school and waiting response
	-Layla Abraham</t>
        </r>
      </text>
    </comment>
    <comment ref="V27" authorId="0">
      <text>
        <r>
          <rPr>
            <sz val="10"/>
            <rFont val="Arial"/>
            <family val="2"/>
          </rPr>
          <t xml:space="preserve">Offline and not showing on the map
	-Layla Abraham</t>
        </r>
      </text>
    </comment>
    <comment ref="W9" authorId="0">
      <text>
        <r>
          <rPr>
            <sz val="10"/>
            <rFont val="Arial"/>
            <family val="2"/>
          </rPr>
          <t xml:space="preserve">Will be going out this week to re-install monitor
	-Layla Abraham</t>
        </r>
      </text>
    </comment>
    <comment ref="W15" authorId="0">
      <text>
        <r>
          <rPr>
            <sz val="10"/>
            <rFont val="Arial"/>
            <family val="2"/>
          </rPr>
          <t xml:space="preserve">Monitor dropping off map multiple times/day, 7/4, 7/5, 7/6, 7/7
	-Layla Abraham</t>
        </r>
      </text>
    </comment>
    <comment ref="W16" authorId="0">
      <text>
        <r>
          <rPr>
            <sz val="10"/>
            <rFont val="Arial"/>
            <family val="2"/>
          </rPr>
          <t xml:space="preserve">Teacher at school cannot get back into school to reset the monitor until August.
	-Layla Abraham</t>
        </r>
      </text>
    </comment>
    <comment ref="W22" authorId="0">
      <text>
        <r>
          <rPr>
            <sz val="10"/>
            <rFont val="Arial"/>
            <family val="2"/>
          </rPr>
          <t xml:space="preserve">Monitor dropping off map multiple times/day 7/7, 7/8, 7/9,  7/10, 7/11
	-Layla Abraham</t>
        </r>
      </text>
    </comment>
    <comment ref="W27" authorId="0">
      <text>
        <r>
          <rPr>
            <sz val="10"/>
            <rFont val="Arial"/>
            <family val="2"/>
          </rPr>
          <t xml:space="preserve">Offline and not showing on the map. Reached out to Grove City and waiting to hear back
	-Layla Abraham</t>
        </r>
      </text>
    </comment>
    <comment ref="X6" authorId="0">
      <text>
        <r>
          <rPr>
            <sz val="10"/>
            <rFont val="Arial"/>
            <family val="2"/>
          </rPr>
          <t xml:space="preserve">Data not received for 2d 20h
	-Layla Abraham</t>
        </r>
      </text>
    </comment>
    <comment ref="X12" authorId="0">
      <text>
        <r>
          <rPr>
            <sz val="10"/>
            <rFont val="Arial"/>
            <family val="2"/>
          </rPr>
          <t xml:space="preserve">Not showing up on map
	-Layla Abraham</t>
        </r>
      </text>
    </comment>
    <comment ref="X16" authorId="0">
      <text>
        <r>
          <rPr>
            <sz val="10"/>
            <rFont val="Arial"/>
            <family val="2"/>
          </rPr>
          <t xml:space="preserve">Teacher at school cannot get back into school to reset the monitor until August.
	-Layla Abraham</t>
        </r>
      </text>
    </comment>
    <comment ref="X27" authorId="0">
      <text>
        <r>
          <rPr>
            <sz val="10"/>
            <rFont val="Arial"/>
            <family val="2"/>
          </rPr>
          <t xml:space="preserve">No longer on map. Circling back with contact to go out and do maintenance
	-Layla Abraham</t>
        </r>
      </text>
    </comment>
    <comment ref="Y15" authorId="0">
      <text>
        <r>
          <rPr>
            <sz val="10"/>
            <rFont val="Arial"/>
            <family val="2"/>
          </rPr>
          <t xml:space="preserve">Offline for the past 36 mins
	-Layla Abraham</t>
        </r>
      </text>
    </comment>
    <comment ref="Y16" authorId="0">
      <text>
        <r>
          <rPr>
            <sz val="10"/>
            <rFont val="Arial"/>
            <family val="2"/>
          </rPr>
          <t xml:space="preserve">Teacher at school cannot get back into school to reset the monitor until August.
	-Layla Abraham</t>
        </r>
      </text>
    </comment>
    <comment ref="Y27" authorId="0">
      <text>
        <r>
          <rPr>
            <sz val="10"/>
            <rFont val="Arial"/>
            <family val="2"/>
          </rPr>
          <t xml:space="preserve">No longer on map. Waiting for IT to get back about wifi connection
	-Layla Abraham</t>
        </r>
      </text>
    </comment>
    <comment ref="Z16" authorId="0">
      <text>
        <r>
          <rPr>
            <sz val="10"/>
            <rFont val="Arial"/>
            <family val="2"/>
          </rPr>
          <t xml:space="preserve">Teacher at school cannot get back into school to reset the monitor until August
	-Layla Abraham</t>
        </r>
      </text>
    </comment>
    <comment ref="AA4" authorId="0">
      <text>
        <r>
          <rPr>
            <sz val="10"/>
            <rFont val="Arial"/>
            <family val="2"/>
          </rPr>
          <t xml:space="preserve">On Aug. 14, 15 and 16, channel A and B had discrepancies.
	-Prince Kwarteng-Crooklynn</t>
        </r>
      </text>
    </comment>
    <comment ref="AA5" authorId="0">
      <text>
        <r>
          <rPr>
            <sz val="10"/>
            <rFont val="Arial"/>
            <family val="2"/>
          </rPr>
          <t xml:space="preserve">On Aug. 14, channel A and B had discrepancies. This happened only once over the last week.
	-Prince Kwarteng-Crooklynn</t>
        </r>
      </text>
    </comment>
    <comment ref="AA16" authorId="0">
      <text>
        <r>
          <rPr>
            <sz val="10"/>
            <rFont val="Arial"/>
            <family val="2"/>
          </rPr>
          <t xml:space="preserve">Teacher at school cannot get back into school to reset the monitor until August. Waiting to hear back.
	-Layla Abraham</t>
        </r>
      </text>
    </comment>
    <comment ref="AA24" authorId="0">
      <text>
        <r>
          <rPr>
            <sz val="10"/>
            <rFont val="Arial"/>
            <family val="2"/>
          </rPr>
          <t xml:space="preserve">Channel A &amp; channel B are not tracking well. Emailed site host last week to go out. Will follow up again this week.
	-Layla Abraham</t>
        </r>
      </text>
    </comment>
    <comment ref="AB24" authorId="0">
      <text>
        <r>
          <rPr>
            <sz val="10"/>
            <rFont val="Arial"/>
            <family val="2"/>
          </rPr>
          <t xml:space="preserve">Channel A &amp; B not tracking well. Having a hard time reaching the site host.
	-Layla Abraham</t>
        </r>
      </text>
    </comment>
    <comment ref="AC12" authorId="0">
      <text>
        <r>
          <rPr>
            <sz val="10"/>
            <rFont val="Arial"/>
            <family val="2"/>
          </rPr>
          <t xml:space="preserve">On Saturday (8/28) @ approx 2pm, Channel B read 4,074 &amp; Channel A read 37
	-Layla Abraham</t>
        </r>
      </text>
    </comment>
    <comment ref="AC13" authorId="0">
      <text>
        <r>
          <rPr>
            <sz val="10"/>
            <rFont val="Arial"/>
            <family val="2"/>
          </rPr>
          <t xml:space="preserve">Data stops August 23rd
	-Carl Malings
Data resumes August 29th
	-Carl Malings</t>
        </r>
      </text>
    </comment>
    <comment ref="AC24" authorId="0">
      <text>
        <r>
          <rPr>
            <sz val="10"/>
            <rFont val="Arial"/>
            <family val="2"/>
          </rPr>
          <t xml:space="preserve">Channels do not seem to be tracking well
	-Layla Abraham</t>
        </r>
      </text>
    </comment>
    <comment ref="AD13" authorId="0">
      <text>
        <r>
          <rPr>
            <sz val="10"/>
            <rFont val="Arial"/>
            <family val="2"/>
          </rPr>
          <t xml:space="preserve">5 hours of data missing 9/5
	-Layla Abraham</t>
        </r>
      </text>
    </comment>
    <comment ref="AD15" authorId="0">
      <text>
        <r>
          <rPr>
            <sz val="10"/>
            <rFont val="Arial"/>
            <family val="2"/>
          </rPr>
          <t xml:space="preserve">Data completeness seems to improve August 30th
	-Carl Malings
Data missing 9/3, 9/4, 9/5
	-Layla Abraham</t>
        </r>
      </text>
    </comment>
    <comment ref="AD24" authorId="0">
      <text>
        <r>
          <rPr>
            <sz val="10"/>
            <rFont val="Arial"/>
            <family val="2"/>
          </rPr>
          <t xml:space="preserve">Channel A &amp; B not tracking well
	-Layla Abraham</t>
        </r>
      </text>
    </comment>
    <comment ref="AD28" authorId="0">
      <text>
        <r>
          <rPr>
            <sz val="10"/>
            <rFont val="Arial"/>
            <family val="2"/>
          </rPr>
          <t xml:space="preserve">Monitor dropping off map intermittently
	-Layla Abraham</t>
        </r>
      </text>
    </comment>
    <comment ref="AE6" authorId="0">
      <text>
        <r>
          <rPr>
            <sz val="10"/>
            <rFont val="Arial"/>
            <family val="2"/>
          </rPr>
          <t xml:space="preserve">Offline for 18h 48m
	-Layla Abraham
Host reset the wifi network and monitor came back online at 3:20pm
	-Layla Abraham
Data seems to return Sept. 13
	-Carl Malings</t>
        </r>
      </text>
    </comment>
    <comment ref="AE7" authorId="0">
      <text>
        <r>
          <rPr>
            <sz val="10"/>
            <rFont val="Arial"/>
            <family val="2"/>
          </rPr>
          <t xml:space="preserve">9/11 (Channel A is 55, Channel B was 14) 9/12 (Channel A was 41, Channel B was 14) Channel A was 46, Channel B was 7 9/12
	-Layla Abraham</t>
        </r>
      </text>
    </comment>
    <comment ref="AE22" authorId="0">
      <text>
        <r>
          <rPr>
            <sz val="10"/>
            <rFont val="Arial"/>
            <family val="2"/>
          </rPr>
          <t xml:space="preserve">9/10 reading over 4,000 and has continued through 9/12
	-Layla Abraham
Data are being rejected after this point
	-Carl Malings</t>
        </r>
      </text>
    </comment>
    <comment ref="AE24" authorId="0">
      <text>
        <r>
          <rPr>
            <sz val="10"/>
            <rFont val="Arial"/>
            <family val="2"/>
          </rPr>
          <t xml:space="preserve">Channel A &amp; B not tracking well
	-Layla Abraham
Data are being rejected by QA code
	-Carl Malings</t>
        </r>
      </text>
    </comment>
    <comment ref="AE28" authorId="0">
      <text>
        <r>
          <rPr>
            <sz val="10"/>
            <rFont val="Arial"/>
            <family val="2"/>
          </rPr>
          <t xml:space="preserve">Offline for 13h 17m but came back online. Changed from Bad to Maybe at 2pm on 9/12/22
	-Layla Abraham
about 50% data on 9/12, but data recovers the next day.
	-Carl Malings</t>
        </r>
      </text>
    </comment>
    <comment ref="AF5" authorId="0">
      <text>
        <r>
          <rPr>
            <sz val="10"/>
            <rFont val="Arial"/>
            <family val="2"/>
          </rPr>
          <t xml:space="preserve">On 9/19 Channel B recorded extremely high values.
	-Prince Kwarteng-Crooklynn</t>
        </r>
      </text>
    </comment>
    <comment ref="AF22" authorId="0">
      <text>
        <r>
          <rPr>
            <sz val="10"/>
            <rFont val="Arial"/>
            <family val="2"/>
          </rPr>
          <t xml:space="preserve">Monitor not reading well.
	-Prince Kwarteng-Crooklynn</t>
        </r>
      </text>
    </comment>
    <comment ref="AF24" authorId="0">
      <text>
        <r>
          <rPr>
            <sz val="10"/>
            <rFont val="Arial"/>
            <family val="2"/>
          </rPr>
          <t xml:space="preserve">Channel A and B are not tracking well.
	-Prince Kwarteng-Crooklynn</t>
        </r>
      </text>
    </comment>
    <comment ref="AG7" authorId="0">
      <text>
        <r>
          <rPr>
            <sz val="10"/>
            <rFont val="Arial"/>
            <family val="2"/>
          </rPr>
          <t xml:space="preserve">Channel A &amp; B not tracking consistently
	-Layla Abraham</t>
        </r>
      </text>
    </comment>
    <comment ref="AG11" authorId="0">
      <text>
        <r>
          <rPr>
            <sz val="10"/>
            <rFont val="Arial"/>
            <family val="2"/>
          </rPr>
          <t xml:space="preserve">Has been offline for 3 hours 39min
	-Layla Abraham</t>
        </r>
      </text>
    </comment>
    <comment ref="AG22" authorId="0">
      <text>
        <r>
          <rPr>
            <sz val="10"/>
            <rFont val="Arial"/>
            <family val="2"/>
          </rPr>
          <t xml:space="preserve">Channel B is not recording data
	-Layla Abraham</t>
        </r>
      </text>
    </comment>
    <comment ref="AG24" authorId="0">
      <text>
        <r>
          <rPr>
            <sz val="10"/>
            <rFont val="Arial"/>
            <family val="2"/>
          </rPr>
          <t xml:space="preserve">Channel A &amp; B not tracking consistently - reset it last week, does not look like that has helped
	-Layla Abraham</t>
        </r>
      </text>
    </comment>
    <comment ref="AH7" authorId="0">
      <text>
        <r>
          <rPr>
            <sz val="10"/>
            <rFont val="Arial"/>
            <family val="2"/>
          </rPr>
          <t xml:space="preserve">On 9/30, 10/1 and 10/2 there were discrepancies between channels A and B.
	-Prince Kwarteng-Crooklynn</t>
        </r>
      </text>
    </comment>
    <comment ref="AH10" authorId="0">
      <text>
        <r>
          <rPr>
            <sz val="10"/>
            <rFont val="Arial"/>
            <family val="2"/>
          </rPr>
          <t xml:space="preserve">Current status not received for 1d 13h 32m at time of check
	-Prince Kwarteng-Crooklynn</t>
        </r>
      </text>
    </comment>
    <comment ref="AH24" authorId="0">
      <text>
        <r>
          <rPr>
            <sz val="10"/>
            <rFont val="Arial"/>
            <family val="2"/>
          </rPr>
          <t xml:space="preserve">Monitor not functioning: Does not show on the PurpleAir map
	-Prince Kwarteng-Crooklynn</t>
        </r>
      </text>
    </comment>
    <comment ref="AI5" authorId="0">
      <text>
        <r>
          <rPr>
            <sz val="10"/>
            <rFont val="Arial"/>
            <family val="2"/>
          </rPr>
          <t xml:space="preserve">Channels tracking a little off..keep an eye on this for next week
	-Layla Abraham</t>
        </r>
      </text>
    </comment>
    <comment ref="AI7" authorId="0">
      <text>
        <r>
          <rPr>
            <sz val="10"/>
            <rFont val="Arial"/>
            <family val="2"/>
          </rPr>
          <t xml:space="preserve">Channels are not tracking well
	-Layla Abraham</t>
        </r>
      </text>
    </comment>
    <comment ref="AI13" authorId="0">
      <text>
        <r>
          <rPr>
            <sz val="10"/>
            <rFont val="Arial"/>
            <family val="2"/>
          </rPr>
          <t xml:space="preserve">As of 11:33am, monitor has been offline for 2h 6m
	-Layla Abraham</t>
        </r>
      </text>
    </comment>
    <comment ref="AI24" authorId="0">
      <text>
        <r>
          <rPr>
            <sz val="10"/>
            <rFont val="Arial"/>
            <family val="2"/>
          </rPr>
          <t xml:space="preserve">Channel A &amp; B are no longer tracking closely at all...waiting to get new monitors in and co-located in order to replace this one
	-Layla Abraham</t>
        </r>
      </text>
    </comment>
    <comment ref="AJ5" authorId="0">
      <text>
        <r>
          <rPr>
            <sz val="10"/>
            <rFont val="Arial"/>
            <family val="2"/>
          </rPr>
          <t xml:space="preserve">Monitor still tracking inconsistently.
10/15 (6:50 AM: A read 53 and B read 11) 
10/16 (10:10 AM: A read 95 and B read 47)
10/17 (3:40 AM: A read 78 and B read 26) (6:10 AM: A read 77 and B read 18) (9:10 AM: A read 76 and B read 9)
	-Prince Kwarteng-Crooklynn</t>
        </r>
      </text>
    </comment>
    <comment ref="AJ7" authorId="0">
      <text>
        <r>
          <rPr>
            <sz val="10"/>
            <rFont val="Arial"/>
            <family val="2"/>
          </rPr>
          <t xml:space="preserve">Channels are not tracking well.
10/14 (1:10PM: Channel A read 69 and B Read 19) (2:50: A read 93 and B read 14) (4:50: A read 67 and B read 5)
10/15 (1:40: A read 57 and B read 14) (2:00: A read 54 and B read 8)
10/16 (8:50 PM: A read 98 and B read 41) (9:30 PM: A read 82 and B read 33)
	-Prince Kwarteng-Crooklynn</t>
        </r>
      </text>
    </comment>
    <comment ref="AJ24" authorId="0">
      <text>
        <r>
          <rPr>
            <sz val="10"/>
            <rFont val="Arial"/>
            <family val="2"/>
          </rPr>
          <t xml:space="preserve">Channel A &amp; B are not tracking consistently
	-Prince Kwarteng-Crooklynn</t>
        </r>
      </text>
    </comment>
    <comment ref="AK5" authorId="0">
      <text>
        <r>
          <rPr>
            <sz val="10"/>
            <rFont val="Arial"/>
            <family val="2"/>
          </rPr>
          <t xml:space="preserve">Channel A is recording spikes and Channel B is not recording the same spikes...channels not tracking well
	-Layla Abraham</t>
        </r>
      </text>
    </comment>
    <comment ref="AK7" authorId="0">
      <text>
        <r>
          <rPr>
            <sz val="10"/>
            <rFont val="Arial"/>
            <family val="2"/>
          </rPr>
          <t xml:space="preserve">Channels not tracking well
	-Layla Abraham</t>
        </r>
      </text>
    </comment>
    <comment ref="AK24" authorId="0">
      <text>
        <r>
          <rPr>
            <sz val="10"/>
            <rFont val="Arial"/>
            <family val="2"/>
          </rPr>
          <t xml:space="preserve">This monitor is at the firehouse and will need to be replaced once we receive our additional monitors
	-Layla Abraham</t>
        </r>
      </text>
    </comment>
    <comment ref="AK26" authorId="0">
      <text>
        <r>
          <rPr>
            <sz val="10"/>
            <rFont val="Arial"/>
            <family val="2"/>
          </rPr>
          <t xml:space="preserve">Monitor has been offline for 3d 10h
	-Layla Abraham</t>
        </r>
      </text>
    </comment>
    <comment ref="AL4" authorId="0">
      <text>
        <r>
          <rPr>
            <sz val="10"/>
            <rFont val="Arial"/>
            <family val="2"/>
          </rPr>
          <t xml:space="preserve">Channels A and B are not tracking well.
A recorded spikes on October 28 and 30.
	-Prince Kwarteng-Crooklynn</t>
        </r>
      </text>
    </comment>
    <comment ref="AL5" authorId="0">
      <text>
        <r>
          <rPr>
            <sz val="10"/>
            <rFont val="Arial"/>
            <family val="2"/>
          </rPr>
          <t xml:space="preserve">Channel A recorded spikes on October 29 (between 10:pm and 2:00AM and October 30 (Between 3:00AM and 5:40AM).
	-Prince Kwarteng-Crooklynn</t>
        </r>
      </text>
    </comment>
    <comment ref="AL7" authorId="0">
      <text>
        <r>
          <rPr>
            <sz val="10"/>
            <rFont val="Arial"/>
            <family val="2"/>
          </rPr>
          <t xml:space="preserve">Channels not tracking well
	-Prince Kwarteng-Crooklynn</t>
        </r>
      </text>
    </comment>
    <comment ref="AL10" authorId="0">
      <text>
        <r>
          <rPr>
            <sz val="10"/>
            <rFont val="Arial"/>
            <family val="2"/>
          </rPr>
          <t xml:space="preserve">Channel A recorded spikes on October 28 (between 11:20pm and 1:30PM and October 29 (@ 5:30PM).
	-Prince Kwarteng-Crooklynn</t>
        </r>
      </text>
    </comment>
    <comment ref="AL24" authorId="0">
      <text>
        <r>
          <rPr>
            <sz val="10"/>
            <rFont val="Arial"/>
            <family val="2"/>
          </rPr>
          <t xml:space="preserve">Needs replacement
	-Prince Kwarteng-Crooklynn</t>
        </r>
      </text>
    </comment>
    <comment ref="AM7" authorId="0">
      <text>
        <r>
          <rPr>
            <sz val="10"/>
            <rFont val="Arial"/>
            <family val="2"/>
          </rPr>
          <t xml:space="preserve">Channel A showing significantly higher spikes than Channel B (11/6 @ 11:10am channel a = 45, channel b = 16, 11/6 @ 10pm channel a = 63, channel b = 21) (11/7 @ 4:50pm channel a = 76, channel b = 22, 11/7 @ 7pm channel a = 52, channel b = 24)
	-Layla Abraham</t>
        </r>
      </text>
    </comment>
    <comment ref="AM24" authorId="0">
      <text>
        <r>
          <rPr>
            <sz val="10"/>
            <rFont val="Arial"/>
            <family val="2"/>
          </rPr>
          <t xml:space="preserve">Needs replacement
	-Layla Abraham</t>
        </r>
      </text>
    </comment>
    <comment ref="AN5" authorId="0">
      <text>
        <r>
          <rPr>
            <sz val="10"/>
            <rFont val="Arial"/>
            <family val="2"/>
          </rPr>
          <t xml:space="preserve">Channel A is recording spikes and Channel B is not recording the same spikes...channels not tracking well
	-Prince Kwarteng-Crooklynn</t>
        </r>
      </text>
    </comment>
    <comment ref="AN7" authorId="0">
      <text>
        <r>
          <rPr>
            <sz val="10"/>
            <rFont val="Arial"/>
            <family val="2"/>
          </rPr>
          <t xml:space="preserve">Channels not tracking well
	-Prince Kwarteng-Crooklynn</t>
        </r>
      </text>
    </comment>
    <comment ref="AN11" authorId="0">
      <text>
        <r>
          <rPr>
            <sz val="10"/>
            <rFont val="Arial"/>
            <family val="2"/>
          </rPr>
          <t xml:space="preserve">Has not received for 01h 43m
	-Prince Kwarteng-Crooklynn</t>
        </r>
      </text>
    </comment>
    <comment ref="AN24" authorId="0">
      <text>
        <r>
          <rPr>
            <sz val="10"/>
            <rFont val="Arial"/>
            <family val="2"/>
          </rPr>
          <t xml:space="preserve">Needs replacement
	-Prince Kwarteng-Crooklynn</t>
        </r>
      </text>
    </comment>
    <comment ref="AN28" authorId="0">
      <text>
        <r>
          <rPr>
            <sz val="10"/>
            <rFont val="Arial"/>
            <family val="2"/>
          </rPr>
          <t xml:space="preserve">Channel B recorded spikes on November 13 while Channel B did not record the same spikes...channels not tracking well
	-Prince Kwarteng-Crooklynn</t>
        </r>
      </text>
    </comment>
    <comment ref="AO5" authorId="0">
      <text>
        <r>
          <rPr>
            <sz val="10"/>
            <rFont val="Arial"/>
            <family val="2"/>
          </rPr>
          <t xml:space="preserve">Channel; A is registering much higher values than channel B on 11/19, 11/20, 11/21, 11/22.
	-Layla Abraham</t>
        </r>
      </text>
    </comment>
    <comment ref="AO7" authorId="0">
      <text>
        <r>
          <rPr>
            <sz val="10"/>
            <rFont val="Arial"/>
            <family val="2"/>
          </rPr>
          <t xml:space="preserve">Channel A reading higher than Channel B on 11/19, 11/20, 11/21
	-Layla Abraham</t>
        </r>
      </text>
    </comment>
    <comment ref="AO24" authorId="0">
      <text>
        <r>
          <rPr>
            <sz val="10"/>
            <rFont val="Arial"/>
            <family val="2"/>
          </rPr>
          <t xml:space="preserve">Needs replacement
	-Layla Abraham</t>
        </r>
      </text>
    </comment>
    <comment ref="AP5" authorId="0">
      <text>
        <r>
          <rPr>
            <sz val="10"/>
            <rFont val="Arial"/>
            <family val="2"/>
          </rPr>
          <t xml:space="preserve">Has not been tracking for 4d 23h 02m
	-Prince Kwarteng-Crooklynn</t>
        </r>
      </text>
    </comment>
    <comment ref="AP6" authorId="0">
      <text>
        <r>
          <rPr>
            <sz val="10"/>
            <rFont val="Arial"/>
            <family val="2"/>
          </rPr>
          <t xml:space="preserve">Has not received data for 6d 18h 43m
	-Prince Kwarteng-Crooklynn</t>
        </r>
      </text>
    </comment>
    <comment ref="AP7" authorId="0">
      <text>
        <r>
          <rPr>
            <sz val="10"/>
            <rFont val="Arial"/>
            <family val="2"/>
          </rPr>
          <t xml:space="preserve">Channel A recorded a spikes
	-Prince Kwarteng-Crooklynn</t>
        </r>
      </text>
    </comment>
    <comment ref="AP15" authorId="0">
      <text>
        <r>
          <rPr>
            <sz val="10"/>
            <rFont val="Arial"/>
            <family val="2"/>
          </rPr>
          <t xml:space="preserve">Missed data for close to three days
	-Prince Kwarteng-Crooklynn</t>
        </r>
      </text>
    </comment>
    <comment ref="AP24" authorId="0">
      <text>
        <r>
          <rPr>
            <sz val="10"/>
            <rFont val="Arial"/>
            <family val="2"/>
          </rPr>
          <t xml:space="preserve">Needs replacement
	-Prince Kwarteng-Crooklynn</t>
        </r>
      </text>
    </comment>
    <comment ref="AP26" authorId="0">
      <text>
        <r>
          <rPr>
            <sz val="10"/>
            <rFont val="Arial"/>
            <family val="2"/>
          </rPr>
          <t xml:space="preserve">Monitor has been off for 5d15h40m
	-Prince Kwarteng-Crooklynn</t>
        </r>
      </text>
    </comment>
    <comment ref="AQ5" authorId="0">
      <text>
        <r>
          <rPr>
            <sz val="10"/>
            <rFont val="Arial"/>
            <family val="2"/>
          </rPr>
          <t xml:space="preserve">Has not been tracking for 4d 23h 02m
	-Prince Kwarteng-Crooklynn</t>
        </r>
      </text>
    </comment>
    <comment ref="AQ15" authorId="0">
      <text>
        <r>
          <rPr>
            <sz val="10"/>
            <rFont val="Arial"/>
            <family val="2"/>
          </rPr>
          <t xml:space="preserve">Missed data for close to three days
	-Prince Kwarteng-Crooklynn</t>
        </r>
      </text>
    </comment>
    <comment ref="AQ24" authorId="0">
      <text>
        <r>
          <rPr>
            <sz val="10"/>
            <rFont val="Arial"/>
            <family val="2"/>
          </rPr>
          <t xml:space="preserve">Needs replacement
	-Prince Kwarteng-Crooklynn</t>
        </r>
      </text>
    </comment>
    <comment ref="AQ26" authorId="0">
      <text>
        <r>
          <rPr>
            <sz val="10"/>
            <rFont val="Arial"/>
            <family val="2"/>
          </rPr>
          <t xml:space="preserve">Monitor has been off for 5d15h40m
	-Prince Kwarteng-Crooklynn</t>
        </r>
      </text>
    </comment>
    <comment ref="AR3" authorId="0">
      <text>
        <r>
          <rPr>
            <sz val="10"/>
            <rFont val="Arial"/>
            <family val="2"/>
          </rPr>
          <t xml:space="preserve">Channel; A is registering much higher values than channel B on 11/19, 11/20, 11/21, 11/22.
	-Layla Abraham</t>
        </r>
      </text>
    </comment>
    <comment ref="AR5" authorId="0">
      <text>
        <r>
          <rPr>
            <sz val="10"/>
            <rFont val="Arial"/>
            <family val="2"/>
          </rPr>
          <t xml:space="preserve">Is not showing on the network.
</t>
        </r>
      </text>
    </comment>
    <comment ref="AR7" authorId="0">
      <text>
        <r>
          <rPr>
            <sz val="10"/>
            <rFont val="Arial"/>
            <family val="2"/>
          </rPr>
          <t xml:space="preserve">Channel A recorded a spikes
	-Prince Kwarteng-Crooklynn</t>
        </r>
      </text>
    </comment>
    <comment ref="AR15" authorId="0">
      <text>
        <r>
          <rPr>
            <sz val="10"/>
            <rFont val="Arial"/>
            <family val="2"/>
          </rPr>
          <t xml:space="preserve">Missed data for close to three days
	-Prince Kwarteng-Crooklynn</t>
        </r>
      </text>
    </comment>
    <comment ref="AR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Laser counter channel A is downgraded. Several spikes observed</t>
        </r>
      </text>
    </comment>
    <comment ref="AR26" authorId="0">
      <text>
        <r>
          <rPr>
            <sz val="10"/>
            <rFont val="Arial"/>
            <family val="2"/>
          </rPr>
          <t xml:space="preserve">Monitor has been off for 5d15h40m
	-Prince Kwarteng-Crooklynn</t>
        </r>
      </text>
    </comment>
    <comment ref="AS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are not tracking together at some points throughout the past week</t>
        </r>
      </text>
    </comment>
    <comment ref="AS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has been offline for 26 days</t>
        </r>
      </text>
    </comment>
    <comment ref="AS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has been offline for 6 days</t>
        </r>
      </text>
    </comment>
    <comment ref="AS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has been offline for 6 days</t>
        </r>
      </text>
    </comment>
    <comment ref="AS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has been offline for 23 days</t>
        </r>
      </text>
    </comment>
    <comment ref="AS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Laser counter channel A is downgraded. Several spikes observed</t>
        </r>
      </text>
    </comment>
    <comment ref="AS26" authorId="0">
      <text>
        <r>
          <rPr>
            <sz val="10"/>
            <rFont val="Arial"/>
            <family val="2"/>
          </rPr>
          <t xml:space="preserve">Monitor has been off for 5d15h40m
	-Prince Kwarteng-Crooklynn</t>
        </r>
      </text>
    </comment>
    <comment ref="AT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are not tracking together at some points </t>
        </r>
      </text>
    </comment>
    <comment ref="AT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are not tracking together at some points. Channel A recorded spikes.</t>
        </r>
      </text>
    </comment>
    <comment ref="AT5" authorId="0">
      <text>
        <r>
          <rPr>
            <sz val="10"/>
            <rFont val="Arial"/>
            <family val="2"/>
          </rPr>
          <t xml:space="preserve">Has not received for 01h 43m
	-Prince Kwarteng-Crooklynn</t>
        </r>
      </text>
    </comment>
    <comment ref="AT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are not tracking well together </t>
        </r>
      </text>
    </comment>
    <comment ref="AT10" authorId="0">
      <text>
        <r>
          <rPr>
            <sz val="10"/>
            <rFont val="Arial"/>
            <family val="2"/>
          </rPr>
          <t xml:space="preserve">Has not received for 01h 43m
	-Prince Kwarteng-Crooklynn</t>
        </r>
      </text>
    </comment>
    <comment ref="AT13" authorId="0">
      <text>
        <r>
          <rPr>
            <sz val="10"/>
            <rFont val="Arial"/>
            <family val="2"/>
          </rPr>
          <t xml:space="preserve">Has not received for 01h 43m
	-Prince Kwarteng-Crooklynn</t>
        </r>
      </text>
    </comment>
    <comment ref="AT1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are not tracking together at some points. Channel B recorded spikes</t>
        </r>
      </text>
    </comment>
    <comment ref="AT15" authorId="0">
      <text>
        <r>
          <rPr>
            <sz val="10"/>
            <rFont val="Arial"/>
            <family val="2"/>
          </rPr>
          <t xml:space="preserve">Missed data for close to three days
	-Prince Kwarteng-Crooklynn</t>
        </r>
      </text>
    </comment>
    <comment ref="AT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 A is downgraded. </t>
        </r>
      </text>
    </comment>
    <comment ref="AT26" authorId="0">
      <text>
        <r>
          <rPr>
            <sz val="10"/>
            <rFont val="Arial"/>
            <family val="2"/>
          </rPr>
          <t xml:space="preserve">Monitor has been off for 5d15h40m
	-Prince Kwarteng-Crooklynn</t>
        </r>
      </text>
    </comment>
    <comment ref="AU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 A &amp; B not tracking well</t>
        </r>
      </text>
    </comment>
    <comment ref="AU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offline &amp; no longer showing up on map</t>
        </r>
      </text>
    </comment>
    <comment ref="AU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offline for 21d...COTA's wifi is down. Waiting for confirmation of their wifi to be turned back on</t>
        </r>
      </text>
    </comment>
    <comment ref="AU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offline for 21d...COTA's wifi is down. Waiting for confirmation of their wifi to be turned back on</t>
        </r>
      </text>
    </comment>
    <comment ref="AU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offline for 21d...COTA's wifi is down. Waiting for confirmation of their wifi to be turned back on</t>
        </r>
      </text>
    </comment>
    <comment ref="AU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offline &amp; no longer showing up on map</t>
        </r>
      </text>
    </comment>
    <comment ref="AU2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Offline for 1d 16h</t>
        </r>
      </text>
    </comment>
    <comment ref="AU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needs replaced</t>
        </r>
      </text>
    </comment>
    <comment ref="AU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offline &amp; no longer showing up on map</t>
        </r>
      </text>
    </comment>
    <comment ref="AV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 A had a few spikes on January 7, 2023.</t>
        </r>
      </text>
    </comment>
    <comment ref="AV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offline</t>
        </r>
      </text>
    </comment>
    <comment ref="AV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offline </t>
        </r>
      </text>
    </comment>
    <comment ref="AV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offline and not showing on the network.</t>
        </r>
      </text>
    </comment>
    <comment ref="AV2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Not showing on the Network. Host may have moved leaving monitor with no internet connection.</t>
        </r>
      </text>
    </comment>
    <comment ref="AV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needs replacement.</t>
        </r>
      </text>
    </comment>
    <comment ref="AV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Offline. Will be checked and fixed today.</t>
        </r>
      </text>
    </comment>
    <comment ref="AW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offline</t>
        </r>
      </text>
    </comment>
    <comment ref="AW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offline because COTA's wifi is down. Monitor host will reach out when wifi is back on.</t>
        </r>
      </text>
    </comment>
    <comment ref="AW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offline because COTA's wifi is down. Monitor host will reach out when wifi is back on.</t>
        </r>
      </text>
    </comment>
    <comment ref="AW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offline because COTA's wifi is down. Monitor host will reach out when wifi is back on.</t>
        </r>
      </text>
    </comment>
    <comment ref="AW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needs replaced at Indianola Informal. Waiting for IT approval to replace with new monitor</t>
        </r>
      </text>
    </comment>
    <comment ref="AW2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offline. Host may have moved and monitor no longer has wifi access</t>
        </r>
      </text>
    </comment>
    <comment ref="AW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needs replaced</t>
        </r>
      </text>
    </comment>
    <comment ref="AX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Recorded a few spikes over the weekend but reading good now.</t>
        </r>
      </text>
    </comment>
    <comment ref="AX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 A and B not reading consistently</t>
        </r>
      </text>
    </comment>
    <comment ref="AX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Offline - No wi-fi connected </t>
        </r>
      </text>
    </comment>
    <comment ref="AX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Offline - No wi-fi connected </t>
        </r>
      </text>
    </comment>
    <comment ref="AX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Offline - No wi-fi connected </t>
        </r>
      </text>
    </comment>
    <comment ref="AX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Waiting for  Indianola IT folk's approval to replace with new monitor</t>
        </r>
      </text>
    </comment>
    <comment ref="AX2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Offline - May be missing Wi-Fi connection </t>
        </r>
      </text>
    </comment>
    <comment ref="AX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needs replacement</t>
        </r>
      </text>
    </comment>
    <comment ref="AX2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Offline</t>
        </r>
      </text>
    </comment>
    <comment ref="AX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Current status not received for 02h59m</t>
        </r>
      </text>
    </comment>
    <comment ref="AY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 &amp; B not tracking well</t>
        </r>
      </text>
    </comment>
    <comment ref="AY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 &amp; B not tracking well</t>
        </r>
      </text>
    </comment>
    <comment ref="AY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 &amp; B not tracking well</t>
        </r>
      </text>
    </comment>
    <comment ref="AY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still offline</t>
        </r>
      </text>
    </comment>
    <comment ref="AY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still offline</t>
        </r>
      </text>
    </comment>
    <comment ref="AY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still offline</t>
        </r>
      </text>
    </comment>
    <comment ref="AY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needs replaced</t>
        </r>
      </text>
    </comment>
    <comment ref="AY2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Site host moved and monitor no longer has wifi</t>
        </r>
      </text>
    </comment>
    <comment ref="AY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needs replaced</t>
        </r>
      </text>
    </comment>
    <comment ref="AZ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 and B not reading consistently</t>
        </r>
      </text>
    </comment>
    <comment ref="AZ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Offline - No wi-fi connected </t>
        </r>
      </text>
    </comment>
    <comment ref="AZ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Offline - No wi-fi connected </t>
        </r>
      </text>
    </comment>
    <comment ref="AZ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Waiting for  Indianola IT folk's approval to replace with new monitor</t>
        </r>
      </text>
    </comment>
    <comment ref="AZ2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Offline - May be missing Wi-Fi connection </t>
        </r>
      </text>
    </comment>
    <comment ref="AZ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needs replacement</t>
        </r>
      </text>
    </comment>
    <comment ref="BA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 &amp; B no longer tracking</t>
        </r>
      </text>
    </comment>
    <comment ref="BA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still offline</t>
        </r>
      </text>
    </comment>
    <comment ref="BA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still offline</t>
        </r>
      </text>
    </comment>
    <comment ref="BA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needs replaced</t>
        </r>
      </text>
    </comment>
    <comment ref="BA2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Site host moved and monitor no longer has wifi</t>
        </r>
      </text>
    </comment>
    <comment ref="BA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needs replaced</t>
        </r>
      </text>
    </comment>
    <comment ref="BB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 A recorded a few spikes</t>
        </r>
      </text>
    </comment>
    <comment ref="BB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taken down. To be replaced</t>
        </r>
      </text>
    </comment>
    <comment ref="BB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wifi offline</t>
        </r>
      </text>
    </comment>
    <comment ref="BB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offline</t>
        </r>
      </text>
    </comment>
    <comment ref="BB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Needs replaced
</t>
        </r>
      </text>
    </comment>
    <comment ref="BB2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Site host moved and monitor no longer has wifi</t>
        </r>
      </text>
    </comment>
    <comment ref="BB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needs replacement</t>
        </r>
      </text>
    </comment>
    <comment ref="BC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has been removed from library</t>
        </r>
      </text>
    </comment>
    <comment ref="BC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C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C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C2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removed because host moved</t>
        </r>
      </text>
    </comment>
    <comment ref="BC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needs replaced</t>
        </r>
      </text>
    </comment>
    <comment ref="BC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has been offline for 30 mins</t>
        </r>
      </text>
    </comment>
    <comment ref="BD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taken down</t>
        </r>
      </text>
    </comment>
    <comment ref="BD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D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D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D2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removed because host moved</t>
        </r>
      </text>
    </comment>
    <comment ref="BD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Needs replacement</t>
        </r>
      </text>
    </comment>
    <comment ref="BE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taken down</t>
        </r>
      </text>
    </comment>
    <comment ref="BE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E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E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E2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removed because host moved</t>
        </r>
      </text>
    </comment>
    <comment ref="BE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Needs replacement</t>
        </r>
      </text>
    </comment>
    <comment ref="BF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taken down</t>
        </r>
      </text>
    </comment>
    <comment ref="BF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F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F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F2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removed because host moved</t>
        </r>
      </text>
    </comment>
    <comment ref="BF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Needs replacement</t>
        </r>
      </text>
    </comment>
    <comment ref="BG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 &amp; B not tracking well</t>
        </r>
      </text>
    </comment>
    <comment ref="BG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has been removed from library</t>
        </r>
      </text>
    </comment>
    <comment ref="BG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G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has been offline for 5d 14h</t>
        </r>
      </text>
    </comment>
    <comment ref="BG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G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G1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has been offline for 1d 19h</t>
        </r>
      </text>
    </comment>
    <comment ref="BG2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removed because host moved</t>
        </r>
      </text>
    </comment>
    <comment ref="BG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BG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has been offline for 10m</t>
        </r>
      </text>
    </comment>
    <comment ref="BH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has been removed from library</t>
        </r>
      </text>
    </comment>
    <comment ref="BH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H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t>
        </r>
      </text>
    </comment>
    <comment ref="BH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H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H2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removed because host moved</t>
        </r>
      </text>
    </comment>
    <comment ref="BI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 A &amp; B not tracking well</t>
        </r>
      </text>
    </comment>
    <comment ref="BI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has been removed from library</t>
        </r>
      </text>
    </comment>
    <comment ref="BI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I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may be damaged</t>
        </r>
      </text>
    </comment>
    <comment ref="BI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I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I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BJ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 A and B not tracking well</t>
        </r>
      </text>
    </comment>
    <comment ref="BJ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hasn't received data for more than 2 days</t>
        </r>
      </text>
    </comment>
    <comment ref="BJ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has been removed from library</t>
        </r>
      </text>
    </comment>
    <comment ref="BJ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J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may be damaged</t>
        </r>
      </text>
    </comment>
    <comment ref="BJ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J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J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to be replaced</t>
        </r>
      </text>
    </comment>
    <comment ref="BK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 for 10 days</t>
        </r>
      </text>
    </comment>
    <comment ref="BK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K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K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may be damaged</t>
        </r>
      </text>
    </comment>
    <comment ref="BK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K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L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L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L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may be damaged</t>
        </r>
      </text>
    </comment>
    <comment ref="BL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offline for 12h 22m</t>
        </r>
      </text>
    </comment>
    <comment ref="BL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L1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L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BL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offline for 2d 12m</t>
        </r>
      </text>
    </comment>
    <comment ref="BM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may be damaged</t>
        </r>
      </text>
    </comment>
    <comment ref="BM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M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BN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may be damaged</t>
        </r>
      </text>
    </comment>
    <comment ref="BN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N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BO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may be damaged</t>
        </r>
      </text>
    </comment>
    <comment ref="BO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O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BP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may be damaged</t>
        </r>
      </text>
    </comment>
    <comment ref="BP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P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BQ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may be damaged</t>
        </r>
      </text>
    </comment>
    <comment ref="BQ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Q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BR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may be damaged</t>
        </r>
      </text>
    </comment>
    <comment ref="BR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R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BS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may be damaged</t>
        </r>
      </text>
    </comment>
    <comment ref="BS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S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BT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T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BU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U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BV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BV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has been removed from library</t>
        </r>
      </text>
    </comment>
    <comment ref="BV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V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BV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still offline</t>
        </r>
      </text>
    </comment>
    <comment ref="BV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V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BW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BW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has been removed from library</t>
        </r>
      </text>
    </comment>
    <comment ref="BW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W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BW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still offline</t>
        </r>
      </text>
    </comment>
    <comment ref="BW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W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BX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BX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has been removed from library</t>
        </r>
      </text>
    </comment>
    <comment ref="BX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X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BX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still offline</t>
        </r>
      </text>
    </comment>
    <comment ref="BX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X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BY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BY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has been removed from library</t>
        </r>
      </text>
    </comment>
    <comment ref="BY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Y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BY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still offline</t>
        </r>
      </text>
    </comment>
    <comment ref="BY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Y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BZ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BZ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has been removed from library</t>
        </r>
      </text>
    </comment>
    <comment ref="BZ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Z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BZ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still offline</t>
        </r>
      </text>
    </comment>
    <comment ref="BZ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BZ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A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A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has been removed from library</t>
        </r>
      </text>
    </comment>
    <comment ref="CA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A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A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still offline</t>
        </r>
      </text>
    </comment>
    <comment ref="CA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A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B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B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has been removed from library</t>
        </r>
      </text>
    </comment>
    <comment ref="CB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B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B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still offline</t>
        </r>
      </text>
    </comment>
    <comment ref="CB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B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C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C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has been removed from library</t>
        </r>
      </text>
    </comment>
    <comment ref="CC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C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C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still offline</t>
        </r>
      </text>
    </comment>
    <comment ref="CC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C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D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D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has been removed from library</t>
        </r>
      </text>
    </comment>
    <comment ref="CD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D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D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still offline</t>
        </r>
      </text>
    </comment>
    <comment ref="CD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D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E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E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has been removed from library</t>
        </r>
      </text>
    </comment>
    <comment ref="CE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E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E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still offline</t>
        </r>
      </text>
    </comment>
    <comment ref="CE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E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F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F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has been removed from library</t>
        </r>
      </text>
    </comment>
    <comment ref="CF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F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F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still offline</t>
        </r>
      </text>
    </comment>
    <comment ref="CF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F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G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G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has been removed from library</t>
        </r>
      </text>
    </comment>
    <comment ref="CG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G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G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still offline</t>
        </r>
      </text>
    </comment>
    <comment ref="CG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G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H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H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has been removed from library</t>
        </r>
      </text>
    </comment>
    <comment ref="CH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H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H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still offline</t>
        </r>
      </text>
    </comment>
    <comment ref="CH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H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I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I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has been removed from library</t>
        </r>
      </text>
    </comment>
    <comment ref="CI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I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I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still offline</t>
        </r>
      </text>
    </comment>
    <comment ref="CI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I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J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J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has been removed from library</t>
        </r>
      </text>
    </comment>
    <comment ref="CJ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J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J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still offline</t>
        </r>
      </text>
    </comment>
    <comment ref="CJ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J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K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K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has been removed from library</t>
        </r>
      </text>
    </comment>
    <comment ref="CK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K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K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still offline</t>
        </r>
      </text>
    </comment>
    <comment ref="CK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K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L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L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has been removed from library</t>
        </r>
      </text>
    </comment>
    <comment ref="CL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L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L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still offline</t>
        </r>
      </text>
    </comment>
    <comment ref="CL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L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M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M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has been removed from library</t>
        </r>
      </text>
    </comment>
    <comment ref="CM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M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M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popped back online after being offline for many months. </t>
        </r>
      </text>
    </comment>
    <comment ref="CM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M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M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is offline</t>
        </r>
      </text>
    </comment>
    <comment ref="CN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N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has been removed from library</t>
        </r>
      </text>
    </comment>
    <comment ref="CN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N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N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popped back online after being offline for many months. </t>
        </r>
      </text>
    </comment>
    <comment ref="CN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N2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reading abnormally high (129) while rest of network is reading much lower. Channel agreement only 60%.
Reply:
    Sensor reading abnormally high (129) while rest of network is reading much lower. Channel agreement only 60%.</t>
        </r>
      </text>
    </comment>
    <comment ref="CN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O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O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 &amp; B only have 34% agreement </t>
        </r>
      </text>
    </comment>
    <comment ref="CO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has been removed from library</t>
        </r>
      </text>
    </comment>
    <comment ref="CO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O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O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popped back online after being offline for many months. </t>
        </r>
      </text>
    </comment>
    <comment ref="CO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O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P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P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 &amp; B only have 36% agreement</t>
        </r>
      </text>
    </comment>
    <comment ref="CP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Monitor has been removed from library</t>
        </r>
      </text>
    </comment>
    <comment ref="CP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P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P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popped back online after being offline for many months. </t>
        </r>
      </text>
    </comment>
    <comment ref="CP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P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popped back online after being offline for many many months...Channels A &amp; B agreeing at 65%</t>
        </r>
      </text>
    </comment>
    <comment ref="CQ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Q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 &amp; B are only at 34% agreement</t>
        </r>
      </text>
    </comment>
    <comment ref="CQ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popped back online after being offline for a very long time bc COTA site with without WiFi since 12/2022. Temp, humidity, and pressure data not detected.</t>
        </r>
      </text>
    </comment>
    <comment ref="CQ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Q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popped back online after being offline for many months. </t>
        </r>
      </text>
    </comment>
    <comment ref="CQ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Q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 humidity, and temp data is not detected</t>
        </r>
      </text>
    </comment>
    <comment ref="CQ2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 humidity, and pressure sensor not detected</t>
        </r>
      </text>
    </comment>
    <comment ref="CQ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message saying temp, humidity, and pressure sensor is faulty</t>
        </r>
      </text>
    </comment>
    <comment ref="CR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R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 &amp; B are only at 34% agreement</t>
        </r>
      </text>
    </comment>
    <comment ref="CR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 humidity, and pressure data not detected</t>
        </r>
      </text>
    </comment>
    <comment ref="CR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R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popped back online after being offline for many months. </t>
        </r>
      </text>
    </comment>
    <comment ref="CR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R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 humidity, and temp data is not detected</t>
        </r>
      </text>
    </comment>
    <comment ref="CR2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 humidity, and pressure sensor not detected</t>
        </r>
      </text>
    </comment>
    <comment ref="CR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message saying temp, humidity, and pressure sensor is faulty</t>
        </r>
      </text>
    </comment>
    <comment ref="CS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S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 &amp; B agreeing at 29%</t>
        </r>
      </text>
    </comment>
    <comment ref="CS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 humidity, and pressure data not detected</t>
        </r>
      </text>
    </comment>
    <comment ref="CS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S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popped back online after being offline for many months. </t>
        </r>
      </text>
    </comment>
    <comment ref="CS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S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 humidity, and temp data is not detected</t>
        </r>
      </text>
    </comment>
    <comment ref="CS2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 humidity, and pressure sensor not detected</t>
        </r>
      </text>
    </comment>
    <comment ref="CS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 &amp; B at 70% agreement</t>
        </r>
      </text>
    </comment>
    <comment ref="CT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T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 &amp; B agreeing at only 17%</t>
        </r>
      </text>
    </comment>
    <comment ref="CT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 When sensor is online, temp, humidity, and pressure sensor is not detected</t>
        </r>
      </text>
    </comment>
    <comment ref="CT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T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popped back online after being offline for many months but seems to be reporting data fine</t>
        </r>
      </text>
    </comment>
    <comment ref="CT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T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 humidity, pressure sensor not detected</t>
        </r>
      </text>
    </comment>
    <comment ref="CT2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 humidity, and pressure sensor not detected</t>
        </r>
      </text>
    </comment>
    <comment ref="CT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 &amp; B at 70% agreement. Getting a messaging that the temp, humidity, and pressure sensor is detected but faulty.</t>
        </r>
      </text>
    </comment>
    <comment ref="CU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U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 &amp; B agreeing at only 17%</t>
        </r>
      </text>
    </comment>
    <comment ref="CU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 When sensor is online, temp, humidity, and pressure sensor is not detected</t>
        </r>
      </text>
    </comment>
    <comment ref="CU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U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popped back online after being offline for many months but seems to be reporting data fine</t>
        </r>
      </text>
    </comment>
    <comment ref="CU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U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 humidity, pressure sensor not detected</t>
        </r>
      </text>
    </comment>
    <comment ref="CU2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 humidity, and pressure sensor not detected</t>
        </r>
      </text>
    </comment>
    <comment ref="CU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 &amp; B at 70% agreement. Getting a messaging that the temp, humidity, and pressure sensor is detected but faulty.</t>
        </r>
      </text>
    </comment>
    <comment ref="CV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V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 A &amp; B agreeing at only 29%</t>
        </r>
      </text>
    </comment>
    <comment ref="CV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 When sensor is online, temp, humidity, and pressure sensor is not detected</t>
        </r>
      </text>
    </comment>
    <comment ref="CV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V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popped back online after being offline for many months but seems to be reporting data fine</t>
        </r>
      </text>
    </comment>
    <comment ref="CV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V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 humidity, pressure sensor not detected</t>
        </r>
      </text>
    </comment>
    <comment ref="CV2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 humidity, pressure sensor not detected</t>
        </r>
      </text>
    </comment>
    <comment ref="CV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 humidity, pressure sensor is detected but faulty</t>
        </r>
      </text>
    </comment>
    <comment ref="CW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W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 A &amp; B agreeing at only 29%</t>
        </r>
      </text>
    </comment>
    <comment ref="CW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 When sensor is online, temp, humidity, and pressure sensor is not detected</t>
        </r>
      </text>
    </comment>
    <comment ref="CW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replaced</t>
        </r>
      </text>
    </comment>
    <comment ref="CW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popped back online after being offline for many months but seems to be reporting data fine</t>
        </r>
      </text>
    </comment>
    <comment ref="CW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site without wifi</t>
        </r>
      </text>
    </comment>
    <comment ref="CW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 humidity, pressure sensor not detected</t>
        </r>
      </text>
    </comment>
    <comment ref="CW2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 humidity, pressure sensor not detected</t>
        </r>
      </text>
    </comment>
    <comment ref="CW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 humidity, pressure sensor is detected but faulty</t>
        </r>
      </text>
    </comment>
    <comment ref="CX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MDH could not locate on map...offline?</t>
        </r>
      </text>
    </comment>
    <comment ref="CX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agreeing at 35%</t>
        </r>
      </text>
    </comment>
    <comment ref="CX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MDH could not locate on map...offline?</t>
        </r>
      </text>
    </comment>
    <comment ref="CX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MDH could not locate on map...offline?</t>
        </r>
      </text>
    </comment>
    <comment ref="CX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is present but real time clock is missing</t>
        </r>
      </text>
    </comment>
    <comment ref="CX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continues to report data despite being offline for several months</t>
        </r>
      </text>
    </comment>
    <comment ref="CX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MDH cannot find on map...offline?</t>
        </r>
      </text>
    </comment>
    <comment ref="CX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is present but is not detected</t>
        </r>
      </text>
    </comment>
    <comment ref="CX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 pressure and humidity not detected</t>
        </r>
      </text>
    </comment>
    <comment ref="CX2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 humidity pressure sensor not detected</t>
        </r>
      </text>
    </comment>
    <comment ref="CX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Confidence at 64%; temp humidity and pressure sensor detected but faulty</t>
        </r>
      </text>
    </comment>
    <comment ref="CX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CX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present but real time clock is missing</t>
        </r>
      </text>
    </comment>
    <comment ref="CY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at Steven's catering offline. It stopped functioning &amp; needs to be replaced</t>
        </r>
      </text>
    </comment>
    <comment ref="CY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Agreement of channel A &amp; B at 57%</t>
        </r>
      </text>
    </comment>
    <comment ref="CY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 This sensor was offline for almost a year when COTA's WiFi went down on 12/19/22. Sensor now pops online intermittently. When sensor is online, temp, humidity, and pressure sensor is not detected.</t>
        </r>
      </text>
    </comment>
    <comment ref="CY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at Franklin Park Conservatory is offline. Stopped functioning after a bed storm &amp; needs replaced.</t>
        </r>
      </text>
    </comment>
    <comment ref="CY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hardware present but SD card not detected</t>
        </r>
      </text>
    </comment>
    <comment ref="CY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popped back online after being offline for many months when COTA's WiFi went down on 12/19/22. Sensor seems to be reporting data fine</t>
        </r>
      </text>
    </comment>
    <comment ref="CY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has been offline since COTA site lost WiFi on 12/19/22</t>
        </r>
      </text>
    </comment>
    <comment ref="CY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present but not detected</t>
        </r>
      </text>
    </comment>
    <comment ref="CY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 humidity, pressure sensor not detected</t>
        </r>
      </text>
    </comment>
    <comment ref="CY2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 humidity, pressure not detected</t>
        </r>
      </text>
    </comment>
    <comment ref="CY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 &amp; B agreeing at 60% &amp; temp, humidity and pressure sensor is faulty</t>
        </r>
      </text>
    </comment>
    <comment ref="CY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hardware present, SD card not detected.</t>
        </r>
      </text>
    </comment>
    <comment ref="CY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hardware present but a real time clock is missing</t>
        </r>
      </text>
    </comment>
    <comment ref="CZ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at Steven's catering offline. It stopped functioning &amp; needs to be replaced</t>
        </r>
      </text>
    </comment>
    <comment ref="CZ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 agreement at 72%</t>
        </r>
      </text>
    </comment>
    <comment ref="CZ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 This sensor was offline for almost a year when COTA's WiFi went down on 12/19/22. Sensor now pops online intermittently. When sensor is online, temp, humidity, and pressure sensor is not detected.</t>
        </r>
      </text>
    </comment>
    <comment ref="CZ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at Franklin Park Conservatory is offline. Stopped functioning after a bed storm &amp; needs replaced.</t>
        </r>
      </text>
    </comment>
    <comment ref="CZ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hardware present but SD card not detected</t>
        </r>
      </text>
    </comment>
    <comment ref="CZ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popped back online after being offline for many months when COTA's WiFi went down on 12/19/22. Sensor seems to be reporting data fine</t>
        </r>
      </text>
    </comment>
    <comment ref="CZ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has been offline since COTA site lost WiFi on 12/19/22</t>
        </r>
      </text>
    </comment>
    <comment ref="CZ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present but not detected</t>
        </r>
      </text>
    </comment>
    <comment ref="CZ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Cannot find sensor on map. Reaching out to site host</t>
        </r>
      </text>
    </comment>
    <comment ref="CZ2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 humidity, pressure not detected</t>
        </r>
      </text>
    </comment>
    <comment ref="CZ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 agreement at 72%, temp, humidity, and pressure sensor is faulty </t>
        </r>
      </text>
    </comment>
    <comment ref="CZ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hardware present, SD card not detected.</t>
        </r>
      </text>
    </comment>
    <comment ref="CZ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hardware present but a real time clock is missing</t>
        </r>
      </text>
    </comment>
    <comment ref="DA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at Steven's catering offline. It stopped functioning &amp; needs to be replaced</t>
        </r>
      </text>
    </comment>
    <comment ref="DA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 &amp; B agreeing at 38%</t>
        </r>
      </text>
    </comment>
    <comment ref="DA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 This sensor was offline for almost a year when COTA's WiFi went down on 12/19/22. Sensor now pops online intermittently. When sensor is online, temp, humidity, and pressure sensor is not detected.</t>
        </r>
      </text>
    </comment>
    <comment ref="DA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at Franklin Park Conservatory is offline. Stopped functioning after a bed storm &amp; needs replaced.</t>
        </r>
      </text>
    </comment>
    <comment ref="DA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hardware present but SD card not detected</t>
        </r>
      </text>
    </comment>
    <comment ref="DA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popped back online after being offline for many months when COTA's WiFi went down on 12/19/22. Sensor seems to be reporting data fine</t>
        </r>
      </text>
    </comment>
    <comment ref="DA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has been offline since COTA site lost WiFi on 12/19/22</t>
        </r>
      </text>
    </comment>
    <comment ref="DA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present but not detected</t>
        </r>
      </text>
    </comment>
    <comment ref="DA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Cannot find sensor on map. Reaching out to site host</t>
        </r>
      </text>
    </comment>
    <comment ref="DA2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 humidity, pressure not detected</t>
        </r>
      </text>
    </comment>
    <comment ref="DA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 agreement at 72%, temp, humidity, and pressure sensor is faulty </t>
        </r>
      </text>
    </comment>
    <comment ref="DA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hardware present, SD card not detected.</t>
        </r>
      </text>
    </comment>
    <comment ref="DA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hardware present but a real time clock is missing</t>
        </r>
      </text>
    </comment>
    <comment ref="DB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at Steven's catering offline. It stopped functioning &amp; needs to be replaced</t>
        </r>
      </text>
    </comment>
    <comment ref="DB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 &amp; B agreeing at 35%</t>
        </r>
      </text>
    </comment>
    <comment ref="DB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 This sensor was offline for almost a year when COTA's WiFi went down on 12/19/22. Sensor now pops online intermittently. When sensor is online, temp, humidity, and pressure sensor is not detected.</t>
        </r>
      </text>
    </comment>
    <comment ref="DB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at Franklin Park Conservatory is offline. Stopped functioning after a bed storm &amp; needs replaced.</t>
        </r>
      </text>
    </comment>
    <comment ref="DB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hardware present but SD card not detected</t>
        </r>
      </text>
    </comment>
    <comment ref="DB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popped back online after being offline for many months when COTA's WiFi went down on 12/19/22. Sensor seems to be reporting data fine</t>
        </r>
      </text>
    </comment>
    <comment ref="DB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has been offline since COTA site lost WiFi on 12/19/22</t>
        </r>
      </text>
    </comment>
    <comment ref="DB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present but not detected</t>
        </r>
      </text>
    </comment>
    <comment ref="DB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Cannot find sensor on map. Reaching out to site host</t>
        </r>
      </text>
    </comment>
    <comment ref="DB2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 humidity, pressure not detected</t>
        </r>
      </text>
    </comment>
    <comment ref="DB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 humidity, and pressure sensor not detected &amp; channels A &amp; B agreeing at 76%</t>
        </r>
      </text>
    </comment>
    <comment ref="DB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hardware present, SD card not detected.</t>
        </r>
      </text>
    </comment>
    <comment ref="DB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hardware present but a real time clock is missing</t>
        </r>
      </text>
    </comment>
    <comment ref="DB2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Not showing up on the map</t>
        </r>
      </text>
    </comment>
    <comment ref="DC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 &amp; B reading at 44%</t>
        </r>
      </text>
    </comment>
    <comment ref="DC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present but nor recording to card</t>
        </r>
      </text>
    </comment>
    <comment ref="DC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Came back online after being offline for about a year</t>
        </r>
      </text>
    </comment>
    <comment ref="DC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C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Can't find on map </t>
        </r>
      </text>
    </comment>
    <comment ref="DC2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 humidity, and pressure sensor not detected </t>
        </r>
      </text>
    </comment>
    <comment ref="DC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 humidity, &amp; pressure not detected. Channels A &amp; B reading at 74%</t>
        </r>
      </text>
    </comment>
    <comment ref="DC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C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present but not reading real time</t>
        </r>
      </text>
    </comment>
    <comment ref="DC2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Can't find on map</t>
        </r>
      </text>
    </comment>
    <comment ref="DD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at Steven's catering offline. It stopped functioning &amp; needs to be replaced</t>
        </r>
      </text>
    </comment>
    <comment ref="DD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 &amp; B reading at 43%</t>
        </r>
      </text>
    </comment>
    <comment ref="DD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 This sensor was offline for almost a year when COTA's WiFi went down on 12/19/22. Sensor now pops online intermittently. When sensor is online, temp, humidity, and pressure sensor is not detected.</t>
        </r>
      </text>
    </comment>
    <comment ref="DD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at Franklin Park Conservatory is offline. Stopped functioning after a bed storm &amp; needs replaced.</t>
        </r>
      </text>
    </comment>
    <comment ref="DD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hardware present but SD card not detected</t>
        </r>
      </text>
    </comment>
    <comment ref="DD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Came back online after being offline for about a year</t>
        </r>
      </text>
    </comment>
    <comment ref="DD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has been offline since COTA site lost WiFi on 12/19/22</t>
        </r>
      </text>
    </comment>
    <comment ref="DD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present but not detected</t>
        </r>
      </text>
    </comment>
    <comment ref="DD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needs reset</t>
        </r>
      </text>
    </comment>
    <comment ref="DD2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 humidity, and pressure sensor not detected </t>
        </r>
      </text>
    </comment>
    <comment ref="DD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 humidity, &amp; pressure not detected. Channels A &amp; B reading at 55%</t>
        </r>
      </text>
    </comment>
    <comment ref="DD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 for 11 mins</t>
        </r>
      </text>
    </comment>
    <comment ref="DD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hardware present but a real time clock is missing</t>
        </r>
      </text>
    </comment>
    <comment ref="DE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at Steven's catering offline. It stopped functioning &amp; needs to be replaced</t>
        </r>
      </text>
    </comment>
    <comment ref="DE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 &amp; B reading at 43%</t>
        </r>
      </text>
    </comment>
    <comment ref="DE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 This sensor was offline for almost a year when COTA's WiFi went down on 12/19/22. Sensor now pops online intermittently. When sensor is online, temp, humidity, and pressure sensor is not detected.</t>
        </r>
      </text>
    </comment>
    <comment ref="DE1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at Franklin Park Conservatory is offline. Stopped functioning after a bed storm &amp; needs replaced.</t>
        </r>
      </text>
    </comment>
    <comment ref="DE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hardware present but SD card not detected</t>
        </r>
      </text>
    </comment>
    <comment ref="DE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 for 26 minutes </t>
        </r>
      </text>
    </comment>
    <comment ref="DE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has been offline since COTA site lost WiFi on 12/19/22</t>
        </r>
      </text>
    </comment>
    <comment ref="DE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Offline for 1hr 52 mins</t>
        </r>
      </text>
    </comment>
    <comment ref="DE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at Indianola needs reset</t>
        </r>
      </text>
    </comment>
    <comment ref="DE2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Removed?
Reply:
    Removed on 3/7/2024</t>
        </r>
      </text>
    </comment>
    <comment ref="DE2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 humidity, &amp; pressure not detected. Channels A &amp; B reading at 55%
Reply:
    Removed on 3/11/2024
</t>
        </r>
      </text>
    </comment>
    <comment ref="DE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Cannot find on map</t>
        </r>
      </text>
    </comment>
    <comment ref="DE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hardware present but a real time clock is missing</t>
        </r>
      </text>
    </comment>
    <comment ref="DF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at Steven's catering offline. It stopped functioning &amp; needs to be replaced</t>
        </r>
      </text>
    </comment>
    <comment ref="DF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 This sensor was offline for almost a year when COTA's WiFi went down on 12/19/22. Sensor now pops online intermittently. When sensor is online, temp, humidity, and pressure sensor is not detected.</t>
        </r>
      </text>
    </comment>
    <comment ref="DF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F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back online, but WiFi strength is very weak</t>
        </r>
      </text>
    </comment>
    <comment ref="DF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has been offline since COTA site lost WiFi on 12/19/22</t>
        </r>
      </text>
    </comment>
    <comment ref="DF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back online. SD card not detected.</t>
        </r>
      </text>
    </comment>
    <comment ref="DF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at Indianola needs reset</t>
        </r>
      </text>
    </comment>
    <comment ref="DF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Cannot find on map</t>
        </r>
      </text>
    </comment>
    <comment ref="DF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hardware is present, however a real time clock is missing</t>
        </r>
      </text>
    </comment>
    <comment ref="DG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at Steven's catering offline. It stopped functioning &amp; needs to be replaced</t>
        </r>
      </text>
    </comment>
    <comment ref="DG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 This sensor was offline for almost a year when COTA's WiFi went down on 12/19/22. Sensor now pops online intermittently. When sensor is online, temp, humidity, and pressure sensor is not detected.</t>
        </r>
      </text>
    </comment>
    <comment ref="DG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G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back online, but WiFi strength is very weak</t>
        </r>
      </text>
    </comment>
    <comment ref="DG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has been offline since COTA site lost WiFi on 12/19/22</t>
        </r>
      </text>
    </comment>
    <comment ref="DG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back online. SD card not detected.</t>
        </r>
      </text>
    </comment>
    <comment ref="DG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at Indianola needs reset</t>
        </r>
      </text>
    </comment>
    <comment ref="DG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back online - SD card not detected.</t>
        </r>
      </text>
    </comment>
    <comment ref="DG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hardware is present, however a real time clock is missing</t>
        </r>
      </text>
    </comment>
    <comment ref="DH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 This sensor was offline for almost a year when COTA's WiFi went down on 12/19/22. Sensor now pops online intermittently. When sensor is online, temp, humidity, and pressure sensor is not detected.</t>
        </r>
      </text>
    </comment>
    <comment ref="DH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H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back online, but WiFi strength is very weak</t>
        </r>
      </text>
    </comment>
    <comment ref="DH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has been offline since COTA site lost WiFi on 12/19/22</t>
        </r>
      </text>
    </comment>
    <comment ref="DH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back online. SD card not detected.</t>
        </r>
      </text>
    </comment>
    <comment ref="DH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at Indianola needs reset</t>
        </r>
      </text>
    </comment>
    <comment ref="DH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H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hardware is present, however a real time clock is missing</t>
        </r>
      </text>
    </comment>
    <comment ref="DI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 This sensor was offline for almost a year when COTA's WiFi went down on 12/19/22. Sensor now pops online intermittently. When sensor is online, temp, humidity, and pressure sensor is not detected.</t>
        </r>
      </text>
    </comment>
    <comment ref="DI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I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back online, but WiFi strength is very weak</t>
        </r>
      </text>
    </comment>
    <comment ref="DI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has been offline since COTA site lost WiFi on 12/19/22</t>
        </r>
      </text>
    </comment>
    <comment ref="DI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back online. SD card not detected.</t>
        </r>
      </text>
    </comment>
    <comment ref="DI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at Indianola needs reset</t>
        </r>
      </text>
    </comment>
    <comment ref="DI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I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hardware is present, however a real time clock is missing</t>
        </r>
      </text>
    </comment>
    <comment ref="DJ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 This sensor was offline for almost a year when COTA's WiFi went down on 12/19/22. Sensor now pops online intermittently. When sensor is online, temp, humidity, and pressure sensor is not detected.</t>
        </r>
      </text>
    </comment>
    <comment ref="DJ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J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back online, but WiFi strength is very weak</t>
        </r>
      </text>
    </comment>
    <comment ref="DJ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has been offline since COTA site lost WiFi on 12/19/22</t>
        </r>
      </text>
    </comment>
    <comment ref="DJ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back online. SD card not detected.</t>
        </r>
      </text>
    </comment>
    <comment ref="DJ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at Indianola needs reset</t>
        </r>
      </text>
    </comment>
    <comment ref="DJ2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J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J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hardware is present, however a real time clock is missing</t>
        </r>
      </text>
    </comment>
    <comment ref="DK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 This sensor was offline for almost a year when COTA's WiFi went down on 12/19/22. Sensor now pops online intermittently. When sensor is online, temp, humidity, and pressure sensor is not detected.</t>
        </r>
      </text>
    </comment>
    <comment ref="DK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K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back online, but WiFi strength is very weak</t>
        </r>
      </text>
    </comment>
    <comment ref="DK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has been offline since COTA site lost WiFi on 12/19/22</t>
        </r>
      </text>
    </comment>
    <comment ref="DK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back online. SD card not detected.</t>
        </r>
      </text>
    </comment>
    <comment ref="DK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at Indianola needs reset</t>
        </r>
      </text>
    </comment>
    <comment ref="DK2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K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K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hardware is present, however a real time clock is missing</t>
        </r>
      </text>
    </comment>
    <comment ref="DL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 A &amp; B starting to disagree a bit. May need reset?</t>
        </r>
      </text>
    </comment>
    <comment ref="DL1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 This sensor was offline for almost a year when COTA's WiFi went down on 12/19/22. Sensor now pops online intermittently. When sensor is online, temp, humidity, and pressure sensor is not detected.</t>
        </r>
      </text>
    </comment>
    <comment ref="DL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L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sensor offline again..this time for 3 days 23 hours 36 mins</t>
        </r>
      </text>
    </comment>
    <comment ref="DL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has been offline since COTA site lost WiFi on 12/19/22</t>
        </r>
      </text>
    </comment>
    <comment ref="DL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back online. SD card not detected.</t>
        </r>
      </text>
    </comment>
    <comment ref="DL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Temperature, humidity and pressure sensor is detected but faulty.
Reply:
    MDH and Ankit went out on 4/26. Discovered the electrical outlet was tripped. We reset the outlet and the sensor worked. </t>
        </r>
      </text>
    </comment>
    <comment ref="DL2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L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L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hardware is present, however a real time clock is missing</t>
        </r>
      </text>
    </comment>
    <comment ref="DL2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Offline for 25 minutes
</t>
        </r>
      </text>
    </comment>
    <comment ref="DM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M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sensor offline again..this time for 3 days 23 hours 36 mins</t>
        </r>
      </text>
    </comment>
    <comment ref="DM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has been offline since COTA site lost WiFi on 12/19/22</t>
        </r>
      </text>
    </comment>
    <comment ref="DM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back online. SD card not detected.</t>
        </r>
      </text>
    </comment>
    <comment ref="DM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Temperature, humidity and pressure sensor is detected but faulty.</t>
        </r>
      </text>
    </comment>
    <comment ref="DM2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M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M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hardware is present, however a real time clock is missing</t>
        </r>
      </text>
    </comment>
    <comment ref="DN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 &amp; B seem to be drifting from agreement</t>
        </r>
      </text>
    </comment>
    <comment ref="DN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N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sensor offline again..this time for 3 days 23 hours 36 mins</t>
        </r>
      </text>
    </comment>
    <comment ref="DN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has been offline since COTA site lost WiFi on 12/19/22</t>
        </r>
      </text>
    </comment>
    <comment ref="DN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back online. SD card not detected.</t>
        </r>
      </text>
    </comment>
    <comment ref="DN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Temperature, humidity and pressure sensor is detected but faulty.</t>
        </r>
      </text>
    </comment>
    <comment ref="DN2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N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N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hardware is present, however a real time clock is missing</t>
        </r>
      </text>
    </comment>
    <comment ref="DO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 &amp; B seem to be drifting from agreement. Will reach out to site host to reset.</t>
        </r>
      </text>
    </comment>
    <comment ref="DO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O1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COTA sensor offline again..this time for 3 days 23 hours 36 mins</t>
        </r>
      </text>
    </comment>
    <comment ref="DO1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has been offline since COTA site lost WiFi on 12/19/22</t>
        </r>
      </text>
    </comment>
    <comment ref="DO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back online. SD card not detected.</t>
        </r>
      </text>
    </comment>
    <comment ref="DO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Temperature, humidity and pressure sensor is detected but faulty.</t>
        </r>
      </text>
    </comment>
    <comment ref="DO2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 &amp; B drifting from agreement</t>
        </r>
      </text>
    </comment>
    <comment ref="DO2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O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 for 48 minutes - Layla will reach out to host for reset</t>
        </r>
      </text>
    </comment>
    <comment ref="DO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hardware is present, however a real time clock is missing</t>
        </r>
      </text>
    </comment>
    <comment ref="DP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was reset, but channels A &amp; B still not tracking well.</t>
        </r>
      </text>
    </comment>
    <comment ref="DP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P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back online. SD card not detected.</t>
        </r>
      </text>
    </comment>
    <comment ref="DP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Temperature, humidity and pressure sensor is detected but faulty.</t>
        </r>
      </text>
    </comment>
    <comment ref="DP2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P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P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hardware is present, however a real time clock is missing</t>
        </r>
      </text>
    </comment>
    <comment ref="DQ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Q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back online. SD card not detected.</t>
        </r>
      </text>
    </comment>
    <comment ref="DQ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Temperature, humidity and pressure sensor is detected but faulty.</t>
        </r>
      </text>
    </comment>
    <comment ref="DQ2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Q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Q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hardware is present, however a real time clock is missing</t>
        </r>
      </text>
    </comment>
    <comment ref="DR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R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back online. SD card not detected.</t>
        </r>
      </text>
    </comment>
    <comment ref="DR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Temperature, humidity and pressure sensor is detected but faulty.</t>
        </r>
      </text>
    </comment>
    <comment ref="DR2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R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R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hardware is present, however a real time clock is missing</t>
        </r>
      </text>
    </comment>
    <comment ref="DS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 &amp; B not tracking well.</t>
        </r>
      </text>
    </comment>
    <comment ref="DS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S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back online. SD card not detected.</t>
        </r>
      </text>
    </comment>
    <comment ref="DS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Offline for 2 days. Since this sensor is at Indianola K-8, we do not have access to the sensor till school is back in session.</t>
        </r>
      </text>
    </comment>
    <comment ref="DS2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S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Offline for 38 minutes. Will reach out to Theresa.</t>
        </r>
      </text>
    </comment>
    <comment ref="DS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hardware is present, however a real time clock is missing</t>
        </r>
      </text>
    </comment>
    <comment ref="DS4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 for 5 days. Will ask JR to reach out to site host</t>
        </r>
      </text>
    </comment>
    <comment ref="DT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A &amp; B not tracking well.</t>
        </r>
      </text>
    </comment>
    <comment ref="DT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T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back online. SD card not detected.</t>
        </r>
      </text>
    </comment>
    <comment ref="DT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 longer showing up on map. Will have to wait till school starts back up to service this sensor.</t>
        </r>
      </text>
    </comment>
    <comment ref="DT2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T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T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hardware is present, however a real time clock is missing</t>
        </r>
      </text>
    </comment>
    <comment ref="DU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U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back online. SD card not detected.</t>
        </r>
      </text>
    </comment>
    <comment ref="DU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 longer showing up on map. Will have to wait till school starts back up to service this sensor.</t>
        </r>
      </text>
    </comment>
    <comment ref="DU2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U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U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hardware is present, however a real time clock is missing</t>
        </r>
      </text>
    </comment>
    <comment ref="DV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V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back online. SD card not detected.</t>
        </r>
      </text>
    </comment>
    <comment ref="DV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 longer showing up on map. Will have to wait till school starts back up to service this sensor.</t>
        </r>
      </text>
    </comment>
    <comment ref="DV2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V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V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hardware is present, however a real time clock is missing</t>
        </r>
      </text>
    </comment>
    <comment ref="DW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W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 </t>
        </r>
      </text>
    </comment>
    <comment ref="DW1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W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Not showing up on map; need to wait for school year to begin to service </t>
        </r>
      </text>
    </comment>
    <comment ref="DW2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W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W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Status not received for 19 hours; SD card not detected </t>
        </r>
      </text>
    </comment>
    <comment ref="DW4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Data not received for 2 days; need to contact site hosts for maintenance</t>
        </r>
      </text>
    </comment>
    <comment ref="DW4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Not appearing on map? Contacted site host but no answer received </t>
        </r>
      </text>
    </comment>
    <comment ref="DX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X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X1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X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Not showing up on map; need to wait for school year to begin to service </t>
        </r>
      </text>
    </comment>
    <comment ref="DX2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X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X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 for 5 days. Will reach out to site host for a reset </t>
        </r>
      </text>
    </comment>
    <comment ref="DX3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t>
        </r>
      </text>
    </comment>
    <comment ref="DX4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not showing up on map. Will touch base with JR to see if he has heard back from site host.</t>
        </r>
      </text>
    </comment>
    <comment ref="DX4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not showing up on map. Will touch base with JR on if site host has been in contact yet.</t>
        </r>
      </text>
    </comment>
    <comment ref="DY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missing</t>
        </r>
      </text>
    </comment>
    <comment ref="DY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missing</t>
        </r>
      </text>
    </comment>
    <comment ref="DY1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 A is down, 0% confidence recorded, no SD card </t>
        </r>
      </text>
    </comment>
    <comment ref="DY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Not showing up on map; need to wait for school year to begin to gain access to location and reset the sensor </t>
        </r>
      </text>
    </comment>
    <comment ref="DY2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missing</t>
        </r>
      </text>
    </comment>
    <comment ref="DY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Not appearing on map</t>
        </r>
      </text>
    </comment>
    <comment ref="DY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Not appearing on map; LA will check the sensor on 7/31</t>
        </r>
      </text>
    </comment>
    <comment ref="DY2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Status not received for 6 days</t>
        </r>
      </text>
    </comment>
    <comment ref="DY4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now back online after ~2 weeks of being down. This location might benefit from a Wifi extender/booster as it has a low wifi reading </t>
        </r>
      </text>
    </comment>
    <comment ref="DY4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Not appearing on map; repeated contact to site host but no response</t>
        </r>
      </text>
    </comment>
    <comment ref="DZ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missing</t>
        </r>
      </text>
    </comment>
    <comment ref="DZ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missing</t>
        </r>
      </text>
    </comment>
    <comment ref="DZ1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0% confidence recorded
</t>
        </r>
      </text>
    </comment>
    <comment ref="DZ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 waiting for school year to begin to reset</t>
        </r>
      </text>
    </comment>
    <comment ref="DZ2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 </t>
        </r>
      </text>
    </comment>
    <comment ref="DZ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not detected</t>
        </r>
      </text>
    </comment>
    <comment ref="DZ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39% confidence </t>
        </r>
      </text>
    </comment>
    <comment ref="DZ3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Removed from Franklin Park Conservatory and replaced with 052
Reply:
    JR tested in office on 8/6 and 051 is back in working order. No reason for the malfunction was found. </t>
        </r>
      </text>
    </comment>
    <comment ref="DZ3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Installed in place of MORPC_051</t>
        </r>
      </text>
    </comment>
    <comment ref="DZ4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Status not received for 5 days
</t>
        </r>
      </text>
    </comment>
    <comment ref="DZ4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Not appearing on map; repeated contact to site host but no response</t>
        </r>
      </text>
    </comment>
    <comment ref="EA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 SD card detected</t>
        </r>
      </text>
    </comment>
    <comment ref="EA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 SD card detected
</t>
        </r>
      </text>
    </comment>
    <comment ref="EA1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Confidence is 0%; contacting site host to remove</t>
        </r>
      </text>
    </comment>
    <comment ref="EA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Not showing up on map; need to wait for school to restart to reset sensor </t>
        </r>
      </text>
    </comment>
    <comment ref="EA2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 SD card detected</t>
        </r>
      </text>
    </comment>
    <comment ref="EA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 SD card detected</t>
        </r>
      </text>
    </comment>
    <comment ref="EA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Layla reset the sensor and it is back up to 100% confidence but shows no SD card </t>
        </r>
      </text>
    </comment>
    <comment ref="EA4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Notice that signal sometimes goes down, might need a change in location or a Wifi signal booster</t>
        </r>
      </text>
    </comment>
    <comment ref="EE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Back online after reading 0% confidence last week. Back to 100% and strong Wifi signal</t>
        </r>
      </text>
    </comment>
    <comment ref="EE1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Per Elizabeth Ellman email on 9/9/24, the sensor was destroyed by vandals over the weekend</t>
        </r>
      </text>
    </comment>
    <comment ref="EI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 SD card detected</t>
        </r>
      </text>
    </comment>
    <comment ref="EI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has been offline for 2 days</t>
        </r>
      </text>
    </comment>
    <comment ref="EI2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Not appearing on map
</t>
        </r>
      </text>
    </comment>
    <comment ref="EI4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Not appearing on map
</t>
        </r>
      </text>
    </comment>
    <comment ref="EJ4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Site host reset the sensor and put in a new extension cable so it is working well as of 10/15</t>
        </r>
      </text>
    </comment>
    <comment ref="EP14" authorId="0">
      <text>
        <r>
          <rPr>
            <sz val="10"/>
            <rFont val="Arial"/>
            <family val="2"/>
          </rPr>
          <t xml:space="preserve">Mauro Diaz-Hernandez:
Contacted Elizabeth but she was going to be out of town, will check when she returns</t>
        </r>
      </text>
    </comment>
    <comment ref="EQ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 SD card detected but otherwise working well</t>
        </r>
      </text>
    </comment>
    <comment ref="EQ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Trying to schedule time with site host, Jared Laughbaum, to remove </t>
        </r>
      </text>
    </comment>
    <comment ref="EQ2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 SD card detected</t>
        </r>
      </text>
    </comment>
    <comment ref="EQ2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Has not been on map for a few weeks, contacted site host for an update or a reset</t>
        </r>
      </text>
    </comment>
    <comment ref="EQ3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 issues with the sensor but noting that readings here are almost always higher than surrounding readings</t>
        </r>
      </text>
    </comment>
    <comment ref="EQ4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 status received for 7+ hours, readings have been intermittent and may need maintenance</t>
        </r>
      </text>
    </comment>
    <comment ref="EQ4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not appearing on map</t>
        </r>
      </text>
    </comment>
    <comment ref="EQ4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was intermittently off for a few minutes, everything appears to be fine and no issue noted on this check, Will keep an eye on it </t>
        </r>
      </text>
    </comment>
    <comment ref="ER4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Site host noticed sensor had become unplugged so he corrected</t>
        </r>
      </text>
    </comment>
    <comment ref="ES4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Site host had switched internet providers and we needed to reset the connection. Everything working fine since this incident. </t>
        </r>
      </text>
    </comment>
    <comment ref="EV3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re-appeared after several months</t>
        </r>
      </text>
    </comment>
    <comment ref="EW2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has been down for 12 minutes, may pop back up but will monitor accordingly</t>
        </r>
      </text>
    </comment>
    <comment ref="EW3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re-appeared after several months but data not being transmitted </t>
        </r>
      </text>
    </comment>
    <comment ref="EW4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Signal appears to be weak and causing the sensor to go offline. We are going to buy a wifi signal booster to give to the site host to correct this. </t>
        </r>
      </text>
    </comment>
    <comment ref="EX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reading at 62%</t>
        </r>
      </text>
    </comment>
    <comment ref="EX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 SD card detected</t>
        </r>
      </text>
    </comment>
    <comment ref="EX1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 signal for 3 days, will contact site host to reset or check issue</t>
        </r>
      </text>
    </comment>
    <comment ref="EX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 SD card detected</t>
        </r>
      </text>
    </comment>
    <comment ref="EX2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 SD card detected</t>
        </r>
      </text>
    </comment>
    <comment ref="EX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 SD card detected</t>
        </r>
      </text>
    </comment>
    <comment ref="EX3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 longer appearing on map</t>
        </r>
      </text>
    </comment>
    <comment ref="EX4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 signal for 2 days, needs wifi booster, which will be purchased soon </t>
        </r>
      </text>
    </comment>
    <comment ref="EX4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Channels only have 41% agreement but was working fine last week; will contact site host for a reset</t>
        </r>
      </text>
    </comment>
    <comment ref="EX5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OSU ITS still hasn't made this sensor connect to internet; will need to find a different location to install</t>
        </r>
      </text>
    </comment>
    <comment ref="EY2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 SD card detected</t>
        </r>
      </text>
    </comment>
    <comment ref="EY5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Not on map, need to contact site host</t>
        </r>
      </text>
    </comment>
    <comment ref="EZ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 SD card detected</t>
        </r>
      </text>
    </comment>
    <comment ref="EZ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 SD card</t>
        </r>
      </text>
    </comment>
    <comment ref="EZ2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 SD card detected</t>
        </r>
      </text>
    </comment>
    <comment ref="EZ4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Signal keep giving out so may appear sometimes and drop other times</t>
        </r>
      </text>
    </comment>
    <comment ref="EZ4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is down and site host has been contacted (error likely due to previous evening thunderstorm)</t>
        </r>
      </text>
    </comment>
    <comment ref="EZ5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Under review by OSU IT; will remove and place elsewhere if no resolution found in next 2 weeks</t>
        </r>
      </text>
    </comment>
    <comment ref="FA5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Per email with OSU IT rep Robert Tillman, we will be moving the sensor to another location on campus</t>
        </r>
      </text>
    </comment>
    <comment ref="FB5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Scheduled maintenance for 2/24</t>
        </r>
      </text>
    </comment>
    <comment ref="FB7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Installed 2/18/25</t>
        </r>
      </text>
    </comment>
    <comment ref="FC3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Installed on 2/24/2025</t>
        </r>
      </text>
    </comment>
    <comment ref="FC4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Wifi signal was dropped and reporting data intermittently</t>
        </r>
      </text>
    </comment>
    <comment ref="FC5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was serviced on 2/24 and working now</t>
        </r>
      </text>
    </comment>
    <comment ref="FC5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Working with site host to fix the issue</t>
        </r>
      </text>
    </comment>
    <comment ref="FC7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Signal dropped for a few hours but back online</t>
        </r>
      </text>
    </comment>
    <comment ref="FI1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Met with site host on 4/3; electrical outlet is having issues due to draw of other connected items. they are working on a fix to dedicate the outlet solely to the AQ sensor</t>
        </r>
      </text>
    </comment>
    <comment ref="FI4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Signal has been down for a bit but appears to go live then drop </t>
        </r>
      </text>
    </comment>
    <comment ref="FI6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 signal for 3 days; will email site host for reset</t>
        </r>
      </text>
    </comment>
    <comment ref="FJ6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Back online as of 4/16</t>
        </r>
      </text>
    </comment>
    <comment ref="FK5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Site host emailed</t>
        </r>
      </text>
    </comment>
    <comment ref="FK6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Site host emailed; fixed as of late 4/21</t>
        </r>
      </text>
    </comment>
    <comment ref="FL5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Not appearing on map; site host contacted</t>
        </r>
      </text>
    </comment>
    <comment ref="FM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disappeared from map on 5/6;  went to check out issue on 5/8, new library staff had removed it since they were not made aware of what the sensor was. They will re-mount the sensor within 2 weeks</t>
        </r>
      </text>
    </comment>
    <comment ref="FM1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was relocated on 5/7/2025 from the back of City Hall to the front with no issues </t>
        </r>
      </text>
    </comment>
    <comment ref="FN4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Signal not received for 3 days</t>
        </r>
      </text>
    </comment>
    <comment ref="FO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Library staff reconnected the sensor but no signal; need to go out and fix the connection </t>
        </r>
      </text>
    </comment>
    <comment ref="FO6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not reporting data; will contact site host to schedule time to access</t>
        </r>
      </text>
    </comment>
    <comment ref="FP2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will be down for an estimated 2 days starting 5/27 due to EPA replacing the trailer at this site. Once the trailer is installed, the sensor will be re-installed </t>
        </r>
      </text>
    </comment>
    <comment ref="FP4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Not appearing on map; will contact site host for maintenance</t>
        </r>
      </text>
    </comment>
    <comment ref="FP6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Per site host email on 5/27: power is interrupted to the sensor location due to the replacement of a sewer line. Power will be off until late summer. Working with site host to find suitable alternate location. Edit 5/29: sensor was moved ~1 km to the west on 5/28 and is now reporting data successfully</t>
        </r>
      </text>
    </comment>
    <comment ref="FT4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Not reporting data for 2 days but kicked back on intermittently </t>
        </r>
      </text>
    </comment>
    <comment ref="FV4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Not appearing on map</t>
        </r>
      </text>
    </comment>
    <comment ref="FV4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Not appearing on map</t>
        </r>
      </text>
    </comment>
    <comment ref="FV5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Not reporting data for &gt;1 day</t>
        </r>
      </text>
    </comment>
    <comment ref="FW2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Will reach out to OEPA staff as sensor keeps connecting and disconnecting every few hours</t>
        </r>
      </text>
    </comment>
    <comment ref="FW3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Reconnected and up and running as of 7/11/25</t>
        </r>
      </text>
    </comment>
    <comment ref="FX4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Having trouble reaching site hosts for maintenance; will continue reaching out</t>
        </r>
      </text>
    </comment>
    <comment ref="FX5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Signal cutting in and out due to renovations and electrical work at host's home; working with host to find suitable alternate placement area</t>
        </r>
      </text>
    </comment>
    <comment ref="GB5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Host said they had construction at their house and were unable to have sensor plugged in for a while. Sensor should be back up and running from now on.</t>
        </r>
      </text>
    </comment>
    <comment ref="GC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Sent email to Jared 8/21/25 to troubleshoot sensor last week. Awaiting a response to schedule a site visit. </t>
        </r>
      </text>
    </comment>
    <comment ref="GC2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Sent email to host 8/22/25 - awaiting response. Will send 2nd email this week.</t>
        </r>
      </text>
    </comment>
    <comment ref="GC4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Reached out to host 8/18/25, 8/20/25, 8/25/25 re: sensor. Awaiting response. </t>
        </r>
      </text>
    </comment>
    <comment ref="GC4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channels agreeing at 8%. Going out on 8/26/25 to troubleshoot</t>
        </r>
      </text>
    </comment>
    <comment ref="GC4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 Emailed host 8/18/25 &amp; 8/25/25. Awaiting reply from host.</t>
        </r>
      </text>
    </comment>
    <comment ref="GC5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 for 23 hours. JR mentioned the host is moving so sensor will have to be removed. </t>
        </r>
      </text>
    </comment>
    <comment ref="GC5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 Reached out to host to reset and sensor is still offline. Will be going out on 8/27 to troubleshoot.</t>
        </r>
      </text>
    </comment>
    <comment ref="GC5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not showing up on map - emailed host.</t>
        </r>
      </text>
    </comment>
    <comment ref="GC6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not showing up on map. Emailed host</t>
        </r>
      </text>
    </comment>
    <comment ref="GC7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channels are agreeing at 0%. Reached out to host. </t>
        </r>
      </text>
    </comment>
    <comment ref="GD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Internal channels agreeing at 38%. Will reach out to site host.</t>
        </r>
      </text>
    </comment>
    <comment ref="GD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still offline. Will circle back to get library maintenance contact </t>
        </r>
      </text>
    </comment>
    <comment ref="GD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Removed sensor and hotspot while we look for a better location.</t>
        </r>
      </text>
    </comment>
    <comment ref="GD2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Emails host on 8/22, 8/25, &amp; 9/2, Awaiting a response.</t>
        </r>
      </text>
    </comment>
    <comment ref="GD4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Reached out to host via phone &amp; email on 8/18, 8/20, 8/25, &amp; 9/2. Awaiting a response. </t>
        </r>
      </text>
    </comment>
    <comment ref="GD4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Host tried canned air in body of sensor with no luck. Think one of the fans is broke. We can either replace the laser counters or put a new sensor out there. Will email JR about it,</t>
        </r>
      </text>
    </comment>
    <comment ref="GD4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Host got a new internet provider and will need help getting sensor back online. Reached out to schedule a visit. </t>
        </r>
      </text>
    </comment>
    <comment ref="GD5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 for 23 hours. JR mentioned the host is moving so sensor will have to be removed. </t>
        </r>
      </text>
    </comment>
    <comment ref="GD58"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Host switched internet providers and is tying to get sensor added onto new wifi network. Will assist if host is unable to connect the sensor. </t>
        </r>
      </text>
    </comment>
    <comment ref="GD6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 Sent second email to host. Awaiting a response. </t>
        </r>
      </text>
    </comment>
    <comment ref="GD7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still reading at 0% confidence. Emailed host to do a site visit</t>
        </r>
      </text>
    </comment>
    <comment ref="GE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 confidence at 17%</t>
        </r>
      </text>
    </comment>
    <comment ref="GE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 confidence reading at 94%; no action needed</t>
        </r>
      </text>
    </comment>
    <comment ref="GE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 signal for &gt;5 days</t>
        </r>
      </text>
    </comment>
    <comment ref="GE4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Will replace this unit with former 068 that is still working but was removed due to sensor host moving</t>
        </r>
      </text>
    </comment>
    <comment ref="GE5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Host is moving and we have removed the sensor from her home as of 9/4/25</t>
        </r>
      </text>
    </comment>
    <comment ref="GE6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Senasor back to reporting and confidence is at 100%</t>
        </r>
      </text>
    </comment>
    <comment ref="GE7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confidence reporting at 51%</t>
        </r>
      </text>
    </comment>
    <comment ref="GE8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Taken down temporarily between collocations of SimpleAQs</t>
        </r>
      </text>
    </comment>
    <comment ref="GF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 confidence 4%</t>
        </r>
      </text>
    </comment>
    <comment ref="GF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 agreement 97%</t>
        </r>
      </text>
    </comment>
    <comment ref="GF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Still working to get this connected - reached out to PurpleAir about an owner's email error and we are still working through that.</t>
        </r>
      </text>
    </comment>
    <comment ref="GF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Not showing up on map
Reply:
    Back up and running 9/17. COSI was doing IT maintenance and had internet issues</t>
        </r>
      </text>
    </comment>
    <comment ref="GF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Just waiting for a platform and then can re-install sensor &amp; hotspot </t>
        </r>
      </text>
    </comment>
    <comment ref="GF2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Trying to reach host 
Reply:
    Back up and running as of 9/17</t>
        </r>
      </text>
    </comment>
    <comment ref="GF4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 B reading at 0 - this sensor will be replaced with MORPC_068 tomorrow.</t>
        </r>
      </text>
    </comment>
    <comment ref="GF4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 for 14 hours - will reach out to host
Reply:
    Back up and running as of 9/17</t>
        </r>
      </text>
    </comment>
    <comment ref="GF6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SD card and temp data are missing</t>
        </r>
      </text>
    </comment>
    <comment ref="GF7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 A no longer reading </t>
        </r>
      </text>
    </comment>
    <comment ref="GG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 SD card detected</t>
        </r>
      </text>
    </comment>
    <comment ref="GG4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 SD card detected</t>
        </r>
      </text>
    </comment>
    <comment ref="GG5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#68 removed from old site in West Columbus due to site host moving and replaced 63 at this location that was having issues</t>
        </r>
      </text>
    </comment>
    <comment ref="GG6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 SD card detected</t>
        </r>
      </text>
    </comment>
    <comment ref="GG7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Reading at 52% since Channel A is down </t>
        </r>
      </text>
    </comment>
    <comment ref="GG7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Says signal not received but is reporting data and reads close to surrounding sensors/</t>
        </r>
      </text>
    </comment>
    <comment ref="GG8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Back online for the next 2 weeks for OSU sensor collocation</t>
        </r>
      </text>
    </comment>
    <comment ref="GH1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 SD card detected</t>
        </r>
      </text>
    </comment>
    <comment ref="GH4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 SD card detected</t>
        </r>
      </text>
    </comment>
    <comment ref="GH5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#68 removed from old site in West Columbus due to site host moving and replaced 63 at this location that was having issues</t>
        </r>
      </text>
    </comment>
    <comment ref="GH6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No SD card detected</t>
        </r>
      </text>
    </comment>
    <comment ref="GH7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Reading at 52% since Channel A is down </t>
        </r>
      </text>
    </comment>
    <comment ref="GH7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Says signal not received but is reporting data and reads close to surrounding sensors/</t>
        </r>
      </text>
    </comment>
    <comment ref="GH80"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Back online for the next 2 weeks for OSU sensor collocation</t>
        </r>
      </text>
    </comment>
    <comment ref="GI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Keep getting error when trying to connect sensor. Had PurpleAir update the associated email address to airquality@morpc.org and still unable to connect sensor. </t>
        </r>
      </text>
    </comment>
    <comment ref="GI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t>
        </r>
      </text>
    </comment>
    <comment ref="GI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Waiting to re-deploy sensor</t>
        </r>
      </text>
    </comment>
    <comment ref="GI5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not showing up on map. Host said they are having issues with their internet provider and should have it resolved soon. </t>
        </r>
      </text>
    </comment>
    <comment ref="GI7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 A is down</t>
        </r>
      </text>
    </comment>
    <comment ref="GJ4"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Keep getting error when trying to connect sensor. Had PurpleAir update the associated email address to airquality@morpc.org and still unable to connect sensor. </t>
        </r>
      </text>
    </comment>
    <comment ref="GJ1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t>
        </r>
      </text>
    </comment>
    <comment ref="GJ19"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Waiting to deploy sensor and hotspot on roof until a platform is secured to place the hotspot and its container on.</t>
        </r>
      </text>
    </comment>
    <comment ref="GJ5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channels agreeing at 65%</t>
        </r>
      </text>
    </comment>
    <comment ref="GJ55"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not showing up on map. Host said they are having issues with their internet provider and should have it resolved soon. </t>
        </r>
      </text>
    </comment>
    <comment ref="GJ63"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offline for 4d 3h 11m</t>
        </r>
      </text>
    </comment>
    <comment ref="GJ7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Channel A is down. Think we may need to replace sensor. </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202"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MORPC_OSU_019 was mistakenly labebed as MORPC_OSU_16 until 2:35pm on 7/2/2024</t>
        </r>
      </text>
    </comment>
    <comment ref="A206"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sensor malfunctioned and was not collocated</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MORPC Data &amp; Mapping Team Fills in Blue sections</t>
        </r>
      </text>
    </comment>
    <comment ref="Q1"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https://gis.franklincountyohio.gov/parcelviewer/</t>
        </r>
      </text>
    </comment>
  </commentList>
</comments>
</file>

<file path=xl/sharedStrings.xml><?xml version="1.0" encoding="utf-8"?>
<sst xmlns="http://schemas.openxmlformats.org/spreadsheetml/2006/main" count="10807" uniqueCount="1877">
  <si>
    <t xml:space="preserve">How to Use this Document:</t>
  </si>
  <si>
    <t xml:space="preserve">Details</t>
  </si>
  <si>
    <t xml:space="preserve">Additional Notes</t>
  </si>
  <si>
    <t xml:space="preserve">Installed Sensors</t>
  </si>
  <si>
    <t xml:space="preserve">This tab includes a comprehesive list of all the sensors, address where they are located, name and contact info for the person of contact, whether or not it needs maintenance done, whether or not there is a hotspot installed, and maintenance notes. </t>
  </si>
  <si>
    <t xml:space="preserve">Sensor Tracking</t>
  </si>
  <si>
    <t xml:space="preserve">This tab has a list of all the sensors that we own and what their status is. They are either Green: Deployed, Blue: Not deployed, ready for deployment, Orange: Not collocated, Red: Not functioning, and Purple: Missing. A bunch of the details about the sensors, including their ID number, in included on each of the lines.</t>
  </si>
  <si>
    <t xml:space="preserve">Hotspot Tracking</t>
  </si>
  <si>
    <t xml:space="preserve">This tab has a list of the hotspots that are occasionally needed for sensor deployment. If a hot spot is deployed, the associated sensor it is being used with is recorded </t>
  </si>
  <si>
    <t xml:space="preserve">Weekly Sensor Checks</t>
  </si>
  <si>
    <t xml:space="preserve">This tab is where the weekly sensor checks are documented. The instruction document on how to do sensor checks is included in the Air Quality Neighborhood sensoring Project Google Drive in the Field Maintenance folder. If they appear to be functioning, input a green yes, if not a red no, and if it's hard to tell, put down as a yellow maybe.</t>
  </si>
  <si>
    <t xml:space="preserve">Potential Opportunities</t>
  </si>
  <si>
    <t xml:space="preserve">This tab is slightly out of date in that some of these locations and contacts already have a sensor installed at that location, but other contacts are potential opportunities to reach back out to who had said at one point that they would be interested in hosting a sensor at their home or business. Use this tab if you are in need of more sensor locations and want to use the list of people who are already interested. </t>
  </si>
  <si>
    <t xml:space="preserve">Target Zip Codes</t>
  </si>
  <si>
    <t xml:space="preserve">This tab lists the zip codes that we are targeting through this project, the number of potential opportunities in each zip code, and the number of sensors located at each one (althrough this may also be a little out of date). </t>
  </si>
  <si>
    <t xml:space="preserve">Deployment Log</t>
  </si>
  <si>
    <t xml:space="preserve">This tab is intended to be a list of information about sensor deployments (i.e., which sensor was deployed to which location between which dates) which is formatted to be easily readible by machine for integration into automated data analysis.</t>
  </si>
  <si>
    <t xml:space="preserve">Site Descriptions</t>
  </si>
  <si>
    <t xml:space="preserve">This tab is intended to provide categorical data on the sensor site specifically or the direct area around them to allow for more critical analysis of the direct surroundings that could influence the measures at the site.</t>
  </si>
  <si>
    <t xml:space="preserve">•	all measurements are in feet
•	land use type is a generalization of MORPC's land use data (govt is mostly libraries)
•	the housing density is a very approximate estimation of the density based on MORPC's land use and using a 500-foot buffer for the area around each location (if ANY residential was found within 500 feet, I used the parcel density from our land use model for these numbers)</t>
  </si>
  <si>
    <t xml:space="preserve">Collocation</t>
  </si>
  <si>
    <t xml:space="preserve">This tab included a lot of data about the sensors that have been collocated.</t>
  </si>
  <si>
    <t xml:space="preserve">Organization</t>
  </si>
  <si>
    <t xml:space="preserve">Primary Contact Name</t>
  </si>
  <si>
    <t xml:space="preserve">Email</t>
  </si>
  <si>
    <t xml:space="preserve">Phone</t>
  </si>
  <si>
    <t xml:space="preserve">Number of visual displays </t>
  </si>
  <si>
    <t xml:space="preserve">Link to file containing list and location information</t>
  </si>
  <si>
    <t xml:space="preserve">Secondary Contact information (Separated with commas)</t>
  </si>
  <si>
    <t xml:space="preserve">Additional Comments</t>
  </si>
  <si>
    <t xml:space="preserve">Hot Spot Tracking</t>
  </si>
  <si>
    <t xml:space="preserve">Green</t>
  </si>
  <si>
    <t xml:space="preserve">Deployed</t>
  </si>
  <si>
    <t xml:space="preserve">Good</t>
  </si>
  <si>
    <t xml:space="preserve">Blue</t>
  </si>
  <si>
    <t xml:space="preserve">Not Deployed,Ready for Deployment</t>
  </si>
  <si>
    <t xml:space="preserve">Not deployed</t>
  </si>
  <si>
    <t xml:space="preserve">Maybe</t>
  </si>
  <si>
    <t xml:space="preserve">Orange</t>
  </si>
  <si>
    <t xml:space="preserve">Not Collocated</t>
  </si>
  <si>
    <t xml:space="preserve">Not functioning</t>
  </si>
  <si>
    <t xml:space="preserve">Bad</t>
  </si>
  <si>
    <t xml:space="preserve">Red</t>
  </si>
  <si>
    <t xml:space="preserve">Not Functioning</t>
  </si>
  <si>
    <t xml:space="preserve">Not Deployed</t>
  </si>
  <si>
    <t xml:space="preserve">Purple</t>
  </si>
  <si>
    <t xml:space="preserve">Missing</t>
  </si>
  <si>
    <t xml:space="preserve">Removed</t>
  </si>
  <si>
    <t xml:space="preserve">Sensor ID</t>
  </si>
  <si>
    <t xml:space="preserve">Type</t>
  </si>
  <si>
    <t xml:space="preserve">Sensor MAC ID</t>
  </si>
  <si>
    <t xml:space="preserve">Status</t>
  </si>
  <si>
    <t xml:space="preserve">Location</t>
  </si>
  <si>
    <t xml:space="preserve">Start Date of Deployment</t>
  </si>
  <si>
    <t xml:space="preserve">Needs Maintenance
*** = take action
%%% = contact Purple Air</t>
  </si>
  <si>
    <t xml:space="preserve">Notes</t>
  </si>
  <si>
    <t xml:space="preserve">Hotspot Needed?</t>
  </si>
  <si>
    <t xml:space="preserve">Hotspot Serial #</t>
  </si>
  <si>
    <t xml:space="preserve">Mobile hotspot password</t>
  </si>
  <si>
    <t xml:space="preserve">MORPC_001</t>
  </si>
  <si>
    <t xml:space="preserve">PA-II-SD Air Quality Sensor</t>
  </si>
  <si>
    <t xml:space="preserve">80:7D:3A:2B:DA:A0</t>
  </si>
  <si>
    <t xml:space="preserve">not deployed</t>
  </si>
  <si>
    <t xml:space="preserve">Undetermined status - needs tested</t>
  </si>
  <si>
    <t xml:space="preserve">Status key:</t>
  </si>
  <si>
    <t xml:space="preserve">MORPC_002</t>
  </si>
  <si>
    <t xml:space="preserve">80:7D:3A:2B:5F:25</t>
  </si>
  <si>
    <t xml:space="preserve">Not found during equipment check 1/18/24</t>
  </si>
  <si>
    <t xml:space="preserve">MORPC_003</t>
  </si>
  <si>
    <t xml:space="preserve">80:7d:3a:2b:bb:25</t>
  </si>
  <si>
    <t xml:space="preserve">Needs Maintenance</t>
  </si>
  <si>
    <t xml:space="preserve">Installed at Franklin Park Conservatory (stopped working and was replaced with MORPC_24)</t>
  </si>
  <si>
    <t xml:space="preserve">Won't power up</t>
  </si>
  <si>
    <t xml:space="preserve">Mauro was able to get sensor to power up;  needs to be tested for data collection 1/18/2024</t>
  </si>
  <si>
    <t xml:space="preserve">MORPC_004</t>
  </si>
  <si>
    <t xml:space="preserve">80:7d:3a:2b:bb:28</t>
  </si>
  <si>
    <t xml:space="preserve">Broad and High</t>
  </si>
  <si>
    <t xml:space="preserve">Went missing during protests</t>
  </si>
  <si>
    <t xml:space="preserve">MORPC_005</t>
  </si>
  <si>
    <t xml:space="preserve">80:7d:3a:2b:81:63</t>
  </si>
  <si>
    <t xml:space="preserve">Undertermined status - needs tested</t>
  </si>
  <si>
    <t xml:space="preserve">MORPC_006</t>
  </si>
  <si>
    <t xml:space="preserve">80:7D:3A:2B:81:5F</t>
  </si>
  <si>
    <t xml:space="preserve">Installed at 441 Nashoba Avenue</t>
  </si>
  <si>
    <t xml:space="preserve">MORPC_007</t>
  </si>
  <si>
    <t xml:space="preserve">80:7D:3A:2B:61:7A</t>
  </si>
  <si>
    <t xml:space="preserve">Installed at Shepard Branch Library </t>
  </si>
  <si>
    <t xml:space="preserve">5/31/22 ; online as of 8/11/22</t>
  </si>
  <si>
    <t xml:space="preserve">MORPC_008</t>
  </si>
  <si>
    <t xml:space="preserve">84:F3:EB:6F:79:E7</t>
  </si>
  <si>
    <t xml:space="preserve">"Power socket slid back" needs tested</t>
  </si>
  <si>
    <t xml:space="preserve">Mauro was able to reset the power socket placement;  needs to be tested for data collection 1/18/2024</t>
  </si>
  <si>
    <t xml:space="preserve">MORPC_009</t>
  </si>
  <si>
    <t xml:space="preserve">80:7D:3A:2B:D8:28</t>
  </si>
  <si>
    <t xml:space="preserve">*** No SD card detected</t>
  </si>
  <si>
    <t xml:space="preserve">MORPC_010</t>
  </si>
  <si>
    <t xml:space="preserve">84:F3:EB:7B:C8:F6</t>
  </si>
  <si>
    <t xml:space="preserve">not deployed - taken out of rotation for maintenance</t>
  </si>
  <si>
    <t xml:space="preserve">%%% Only one sensor is working</t>
  </si>
  <si>
    <t xml:space="preserve">Removed from installation and retired</t>
  </si>
  <si>
    <t xml:space="preserve">MORPC_011</t>
  </si>
  <si>
    <t xml:space="preserve">84:F3:EB:7B:C9:E2</t>
  </si>
  <si>
    <t xml:space="preserve">"SD card lost inside" see note on sensor</t>
  </si>
  <si>
    <t xml:space="preserve">Mauro was able to retrieve the SD card and confirmed power-up of sensor. Needs to be tested. 1/18/2024</t>
  </si>
  <si>
    <t xml:space="preserve">MORPC_012</t>
  </si>
  <si>
    <t xml:space="preserve">80:7D:3A:2B:61:7F</t>
  </si>
  <si>
    <t xml:space="preserve">Installed at 1221 Chesapeake</t>
  </si>
  <si>
    <t xml:space="preserve">MORPC_013</t>
  </si>
  <si>
    <t xml:space="preserve">80:7D:3A:2B:DC:FE</t>
  </si>
  <si>
    <t xml:space="preserve">%%% Wifi signal from monitor not showing up</t>
  </si>
  <si>
    <t xml:space="preserve">Get data from SD card?</t>
  </si>
  <si>
    <t xml:space="preserve">MORPC_014</t>
  </si>
  <si>
    <t xml:space="preserve">80:7D:3A:2B:DA:86</t>
  </si>
  <si>
    <t xml:space="preserve">Installed at 2768 Audubon Road, Linden</t>
  </si>
  <si>
    <t xml:space="preserve">MORPC_015</t>
  </si>
  <si>
    <t xml:space="preserve">80:7D:3A:2C:11:9C</t>
  </si>
  <si>
    <t xml:space="preserve">%%% Temp and humidity data missing</t>
  </si>
  <si>
    <t xml:space="preserve">MORPC_016</t>
  </si>
  <si>
    <t xml:space="preserve">80:7D:3A:2B:DC:34</t>
  </si>
  <si>
    <t xml:space="preserve">Installed at 1220 Striebel Road, Now not deployed</t>
  </si>
  <si>
    <t xml:space="preserve">Not found in equipment closet on 1/18/24</t>
  </si>
  <si>
    <t xml:space="preserve">MORPC_017</t>
  </si>
  <si>
    <t xml:space="preserve">80:7D:3A:2B:DA:FA</t>
  </si>
  <si>
    <t xml:space="preserve">Installed at 1575 Studer Ave</t>
  </si>
  <si>
    <t xml:space="preserve">MORPC_018</t>
  </si>
  <si>
    <t xml:space="preserve">80:7D:3A:2B:DA:84</t>
  </si>
  <si>
    <t xml:space="preserve">*** Won't power up? </t>
  </si>
  <si>
    <t xml:space="preserve">MDH shows powering up on 1/18/24</t>
  </si>
  <si>
    <t xml:space="preserve">MORPC_019</t>
  </si>
  <si>
    <t xml:space="preserve">80:7D:3A:2B:5F:37</t>
  </si>
  <si>
    <t xml:space="preserve">Mauro inspected during equipment check 1/18/24. The power input area that connects to the main green chip is not soldered on so the sensor won't power up.  </t>
  </si>
  <si>
    <t xml:space="preserve">MORPC_020</t>
  </si>
  <si>
    <t xml:space="preserve">80:7D:3A:2B:5F:17</t>
  </si>
  <si>
    <t xml:space="preserve">*** Channel B reading too low</t>
  </si>
  <si>
    <t xml:space="preserve">MORPC_021</t>
  </si>
  <si>
    <t xml:space="preserve">10:52:1C:44:DB:FA</t>
  </si>
  <si>
    <t xml:space="preserve">MORPC_022</t>
  </si>
  <si>
    <t xml:space="preserve">10:52:1C:42:18:49</t>
  </si>
  <si>
    <t xml:space="preserve">Removed from 1575 Studer Ave and replaced w/ MORPC_17 on 7/12/22. 9/28/22 Monitor re-deployed at Whitehall library. Found in equipment closet on 1/18/2024.</t>
  </si>
  <si>
    <t xml:space="preserve">Check data and then ready to be sited. Found in equipment closet on 1/18/24</t>
  </si>
  <si>
    <t xml:space="preserve">MORPC_023</t>
  </si>
  <si>
    <t xml:space="preserve">10:52:1C:41:BA:50</t>
  </si>
  <si>
    <t xml:space="preserve">installed with COTA at 5271 N High St</t>
  </si>
  <si>
    <t xml:space="preserve">Check data and then ready to be sited</t>
  </si>
  <si>
    <t xml:space="preserve">MORPC_024</t>
  </si>
  <si>
    <t xml:space="preserve">A4:CF:12:FE:0:34</t>
  </si>
  <si>
    <t xml:space="preserve">Installed at the Franklin Park Conservatory</t>
  </si>
  <si>
    <t xml:space="preserve">*** Poorly correlated with reference monitor during collocation</t>
  </si>
  <si>
    <t xml:space="preserve">MORPC_025</t>
  </si>
  <si>
    <t xml:space="preserve">FC:F5:C4:9E:44:D0</t>
  </si>
  <si>
    <t xml:space="preserve">Installed at South High Library Branch</t>
  </si>
  <si>
    <t xml:space="preserve">MORPC_026</t>
  </si>
  <si>
    <t xml:space="preserve">FC:F5:C4:9E:74:4C</t>
  </si>
  <si>
    <t xml:space="preserve">installed with COTA at 1390 Cleveland Ave</t>
  </si>
  <si>
    <t xml:space="preserve">MORPC_027</t>
  </si>
  <si>
    <t xml:space="preserve">10:52:1C:41:43:FC</t>
  </si>
  <si>
    <t xml:space="preserve">Installed at Bexley City Hall, 2242 E Main St</t>
  </si>
  <si>
    <t xml:space="preserve">MORPC_028</t>
  </si>
  <si>
    <t xml:space="preserve">10:52:1C:41:68:25</t>
  </si>
  <si>
    <t xml:space="preserve">installed with COTA at 1125 E main st.</t>
  </si>
  <si>
    <t xml:space="preserve">MORPC_029</t>
  </si>
  <si>
    <t xml:space="preserve">10:52:1C:42:21:3B</t>
  </si>
  <si>
    <t xml:space="preserve">Removed from Indianola Informal on 1/10/22</t>
  </si>
  <si>
    <t xml:space="preserve">Removed from Indianola Informal on 1/10/22 - no longer turning on</t>
  </si>
  <si>
    <t xml:space="preserve">MORPC_030</t>
  </si>
  <si>
    <t xml:space="preserve">10:52:1C:41:35:C1</t>
  </si>
  <si>
    <t xml:space="preserve">Installed at COSI - 333 W Broad St</t>
  </si>
  <si>
    <t xml:space="preserve">MORPC_031</t>
  </si>
  <si>
    <t xml:space="preserve">10:52:1C:4D:A8:92</t>
  </si>
  <si>
    <t xml:space="preserve">Installed at 1295 Glenn Ave, Grandview</t>
  </si>
  <si>
    <t xml:space="preserve">Removed 8/19/2024; </t>
  </si>
  <si>
    <t xml:space="preserve">Replaced withMORPC_061 since it was malfunctioning</t>
  </si>
  <si>
    <t xml:space="preserve">MORPC_032</t>
  </si>
  <si>
    <t xml:space="preserve">A4:CF:12:FE:0:3C</t>
  </si>
  <si>
    <t xml:space="preserve">2527 Nassau Dr., Blacklick (removed 2/17/23 from Nassau Dr and placed at Indianola Informal 4/4/23)</t>
  </si>
  <si>
    <t xml:space="preserve">MORPC_033</t>
  </si>
  <si>
    <t xml:space="preserve">10:52:1C:41:FF:70</t>
  </si>
  <si>
    <t xml:space="preserve">Installed at 897 W Broad St, Columbus </t>
  </si>
  <si>
    <t xml:space="preserve">MORPC_034</t>
  </si>
  <si>
    <t xml:space="preserve">10:52:1C:41:BD:24</t>
  </si>
  <si>
    <t xml:space="preserve">installed at Whitehall branch library- 9/28/22 </t>
  </si>
  <si>
    <t xml:space="preserve">monitor replaced becase it was not functioning</t>
  </si>
  <si>
    <t xml:space="preserve">MORPC_035</t>
  </si>
  <si>
    <t xml:space="preserve">10:52:1C:41:B1:4</t>
  </si>
  <si>
    <t xml:space="preserve">Installed at 164 Hayden Ave, Columbus</t>
  </si>
  <si>
    <t xml:space="preserve">MORPC_036</t>
  </si>
  <si>
    <t xml:space="preserve">10:52:1C:44:E9:1C</t>
  </si>
  <si>
    <t xml:space="preserve">2650 London Groveport Rd, Grove City</t>
  </si>
  <si>
    <t xml:space="preserve">MORPC_037</t>
  </si>
  <si>
    <t xml:space="preserve">10:52:1C:41:CD:F1</t>
  </si>
  <si>
    <t xml:space="preserve">Installed at Blendon Senior Center</t>
  </si>
  <si>
    <t xml:space="preserve">MORPC_038</t>
  </si>
  <si>
    <t xml:space="preserve">10:52:1C:41:77:E</t>
  </si>
  <si>
    <t xml:space="preserve">Installed at Hilltop YMCA - Removed 8/25/2025</t>
  </si>
  <si>
    <t xml:space="preserve">Removed from Hilltop YMCA  roof on 8/25/2025. Sensor wasn't consistenly staying online. Sensor still functions and channels are agreeing at 100%. Data has been archived and sensor is ready for re-deployment.</t>
  </si>
  <si>
    <t xml:space="preserve">MORPC_039</t>
  </si>
  <si>
    <t xml:space="preserve">10:52:1C:41:62:F5</t>
  </si>
  <si>
    <t xml:space="preserve">Installed at Kingston Center in Grove City</t>
  </si>
  <si>
    <t xml:space="preserve">MORPC_040</t>
  </si>
  <si>
    <t xml:space="preserve">10:52:1C:41:C2:BC</t>
  </si>
  <si>
    <t xml:space="preserve">7560 Smoky Row Rd, Columbus OH </t>
  </si>
  <si>
    <t xml:space="preserve">MORPC_041</t>
  </si>
  <si>
    <t xml:space="preserve">10:52:1C:42:2E:32</t>
  </si>
  <si>
    <t xml:space="preserve">MORPC_042</t>
  </si>
  <si>
    <t xml:space="preserve">10:52:1C:41:D1:9F</t>
  </si>
  <si>
    <t xml:space="preserve">MORPC_043</t>
  </si>
  <si>
    <t xml:space="preserve">10:52:1C:41:54:A7</t>
  </si>
  <si>
    <t xml:space="preserve">MORPC_050</t>
  </si>
  <si>
    <t xml:space="preserve">30:83:98:AF:9C:AF</t>
  </si>
  <si>
    <t xml:space="preserve">897 W Broad Street, Columbus OH</t>
  </si>
  <si>
    <t xml:space="preserve">MORPC_051</t>
  </si>
  <si>
    <t xml:space="preserve">98:CD:AC:11:65:47</t>
  </si>
  <si>
    <t xml:space="preserve">133 S Cypress Ave, 43222</t>
  </si>
  <si>
    <t xml:space="preserve">MORPC_052</t>
  </si>
  <si>
    <t xml:space="preserve">BC:FF:4D:57:27:C7</t>
  </si>
  <si>
    <t xml:space="preserve">1777 E Broad St, Columbus, OH</t>
  </si>
  <si>
    <t xml:space="preserve">MORPC_053</t>
  </si>
  <si>
    <t xml:space="preserve">30:83:98:B0:4D:91</t>
  </si>
  <si>
    <t xml:space="preserve">711 Southwood Ave.</t>
  </si>
  <si>
    <t xml:space="preserve">MORPC_054</t>
  </si>
  <si>
    <t xml:space="preserve">30:83:98:AE:92:34</t>
  </si>
  <si>
    <t xml:space="preserve">1833 Kent Street, Columbus, OH, 43205</t>
  </si>
  <si>
    <t xml:space="preserve">MORPC_055</t>
  </si>
  <si>
    <t xml:space="preserve">30:83:98:AF:5E:15</t>
  </si>
  <si>
    <t xml:space="preserve">5723 Paul Talbott Circle, Columbus, OH 43123</t>
  </si>
  <si>
    <t xml:space="preserve">MORPC_056</t>
  </si>
  <si>
    <t xml:space="preserve">N/A</t>
  </si>
  <si>
    <t xml:space="preserve">MORPC_057</t>
  </si>
  <si>
    <t xml:space="preserve">MORPC_058</t>
  </si>
  <si>
    <t xml:space="preserve">MORPC_059</t>
  </si>
  <si>
    <t xml:space="preserve">MORPC_060</t>
  </si>
  <si>
    <t xml:space="preserve">D8:BC:38:84:72:72</t>
  </si>
  <si>
    <t xml:space="preserve">3515 Leap Road, Hilliard, OH 43026</t>
  </si>
  <si>
    <t xml:space="preserve">MM204700003347</t>
  </si>
  <si>
    <t xml:space="preserve">MORPC_061</t>
  </si>
  <si>
    <t xml:space="preserve">C8:C9:A3:F:9E:65</t>
  </si>
  <si>
    <t xml:space="preserve">1295 Glenn Ave.</t>
  </si>
  <si>
    <t xml:space="preserve">Replaced sensor MORPC_031 that was malfunctioning</t>
  </si>
  <si>
    <t xml:space="preserve">MORPC_062</t>
  </si>
  <si>
    <t xml:space="preserve">C8:C9:A3:F:9A:72</t>
  </si>
  <si>
    <t xml:space="preserve">2255 Home Road. Grove City 43123</t>
  </si>
  <si>
    <t xml:space="preserve">MORPC_063</t>
  </si>
  <si>
    <t xml:space="preserve">C8:C9:A3:F:9D:25</t>
  </si>
  <si>
    <t xml:space="preserve">3625 Pegg Avenue, Columbus, OH</t>
  </si>
  <si>
    <t xml:space="preserve">Removed on 9/16/2025 and replaced with MORPC_068</t>
  </si>
  <si>
    <t xml:space="preserve">MORPC_064</t>
  </si>
  <si>
    <t xml:space="preserve">D8:BC:38:84:51:CE</t>
  </si>
  <si>
    <t xml:space="preserve">1705 Milford Avenue, Columbus, OH 43224</t>
  </si>
  <si>
    <t xml:space="preserve">the temperature, humidity, and pressure sensors are not detected/functioning</t>
  </si>
  <si>
    <t xml:space="preserve">MORPC_065</t>
  </si>
  <si>
    <t xml:space="preserve">C8:C9:A3:F:9E:62</t>
  </si>
  <si>
    <t xml:space="preserve">96 Parkview Road, Westerville, OH 43081</t>
  </si>
  <si>
    <t xml:space="preserve">sensor stopped functioning and was replaced with MORPC_096</t>
  </si>
  <si>
    <t xml:space="preserve">MORPC_066</t>
  </si>
  <si>
    <t xml:space="preserve">D8:BC:38:84:4E:E7</t>
  </si>
  <si>
    <t xml:space="preserve">2040 Fenton Street, 43224</t>
  </si>
  <si>
    <t xml:space="preserve">MORPC_067</t>
  </si>
  <si>
    <t xml:space="preserve">C8:C9:A3:F:76:5</t>
  </si>
  <si>
    <t xml:space="preserve">2263 Lila Way, 43235</t>
  </si>
  <si>
    <t xml:space="preserve">MORPC_068</t>
  </si>
  <si>
    <t xml:space="preserve">C8:C9:A3:F:9E:2E</t>
  </si>
  <si>
    <t xml:space="preserve">5328 Cherry Bud Ct, 43228</t>
  </si>
  <si>
    <t xml:space="preserve">Sensor removed from Cherry Bud Ct and placed at 3625 Pegg Avenue, Columbus, OH on 9/16/2025.</t>
  </si>
  <si>
    <t xml:space="preserve">MORPC_069</t>
  </si>
  <si>
    <t xml:space="preserve">C8:C9:A3:F:9E:7A</t>
  </si>
  <si>
    <t xml:space="preserve">3492 Stokey Ct., 43230</t>
  </si>
  <si>
    <t xml:space="preserve">MORPC_070</t>
  </si>
  <si>
    <t xml:space="preserve">D8:BC:38:84:48:86</t>
  </si>
  <si>
    <t xml:space="preserve">5556 N Meadows Blvd, 43229</t>
  </si>
  <si>
    <t xml:space="preserve">MORPC_071</t>
  </si>
  <si>
    <t xml:space="preserve">C8:C9:A3:F:9E:35</t>
  </si>
  <si>
    <t xml:space="preserve">122 E Whitter Street, 43206</t>
  </si>
  <si>
    <t xml:space="preserve">MORPC_072</t>
  </si>
  <si>
    <t xml:space="preserve">D8:BC:38:84:76:4</t>
  </si>
  <si>
    <t xml:space="preserve">2255 Kenny Rd, Columbus, OH 43210</t>
  </si>
  <si>
    <t xml:space="preserve">MORPC_073</t>
  </si>
  <si>
    <t xml:space="preserve">C8:C9:A3:F:9E:32</t>
  </si>
  <si>
    <t xml:space="preserve">180 W Kenworth Road, 43214</t>
  </si>
  <si>
    <t xml:space="preserve">MORPC_074</t>
  </si>
  <si>
    <t xml:space="preserve">C8:C9:A3:F:95:34</t>
  </si>
  <si>
    <t xml:space="preserve">421 W 8th Ave, 43201</t>
  </si>
  <si>
    <t xml:space="preserve">MORPC_075</t>
  </si>
  <si>
    <t xml:space="preserve">D8:BC:38:84:34:14</t>
  </si>
  <si>
    <t xml:space="preserve">2608 Lilypark Drive, 43219</t>
  </si>
  <si>
    <t xml:space="preserve">MORPC_076</t>
  </si>
  <si>
    <t xml:space="preserve">C8:C9:A3:10:A:A3</t>
  </si>
  <si>
    <t xml:space="preserve">2701 Alder Vista Drive, 43231</t>
  </si>
  <si>
    <t xml:space="preserve">MORPC_077</t>
  </si>
  <si>
    <t xml:space="preserve">C8:C9:A3:F:9D:1F</t>
  </si>
  <si>
    <t xml:space="preserve">382 Westview Ave., 43214</t>
  </si>
  <si>
    <t xml:space="preserve">MORPC_078</t>
  </si>
  <si>
    <t xml:space="preserve">C8:C9:A3:10:A:AC</t>
  </si>
  <si>
    <t xml:space="preserve">81 South Kellner Road, 43209</t>
  </si>
  <si>
    <t xml:space="preserve">MORPC_079</t>
  </si>
  <si>
    <t xml:space="preserve">C8:C9:A3:F:9E:69</t>
  </si>
  <si>
    <t xml:space="preserve">2966 Brownlee Ave</t>
  </si>
  <si>
    <t xml:space="preserve">MORPC_080</t>
  </si>
  <si>
    <t xml:space="preserve">C8:C9:A3:F:95:3</t>
  </si>
  <si>
    <t xml:space="preserve">451 Hubbard Road, Galloway</t>
  </si>
  <si>
    <t xml:space="preserve">MORPC_081</t>
  </si>
  <si>
    <t xml:space="preserve">C8:C9:A3:10:B:51</t>
  </si>
  <si>
    <t xml:space="preserve">48 N 22nd Street, 43203</t>
  </si>
  <si>
    <t xml:space="preserve">MORPC_082</t>
  </si>
  <si>
    <t xml:space="preserve">C8:C9:A3:F:9E:59</t>
  </si>
  <si>
    <t xml:space="preserve">40°00'20.8"N 82°52'42.9"W</t>
  </si>
  <si>
    <t xml:space="preserve">MORPC_083</t>
  </si>
  <si>
    <t xml:space="preserve">C8:C9:A3:F:9E:2C</t>
  </si>
  <si>
    <t xml:space="preserve">2843 Blendon Woods Blvd, 43231</t>
  </si>
  <si>
    <t xml:space="preserve">MORPC_084</t>
  </si>
  <si>
    <t xml:space="preserve">D8:BC:38:84:4F:4</t>
  </si>
  <si>
    <t xml:space="preserve">1865 Nason Ave, 43207</t>
  </si>
  <si>
    <t xml:space="preserve">MORPC_085</t>
  </si>
  <si>
    <t xml:space="preserve">C8:C9:A3:F:9E:79</t>
  </si>
  <si>
    <t xml:space="preserve">208 Demorest Rd., 43204</t>
  </si>
  <si>
    <t xml:space="preserve">MORPC_086</t>
  </si>
  <si>
    <t xml:space="preserve">D8:BC:38:84:72:96</t>
  </si>
  <si>
    <t xml:space="preserve">2050 S High Street, 43207</t>
  </si>
  <si>
    <t xml:space="preserve">MORPC_087</t>
  </si>
  <si>
    <t xml:space="preserve">C8:C9:A3:F:9D:A5</t>
  </si>
  <si>
    <t xml:space="preserve">106 S Wheatland Ave, 43204</t>
  </si>
  <si>
    <t xml:space="preserve">MORPC_088</t>
  </si>
  <si>
    <t xml:space="preserve">C8:C9:A3:F:9E:6A</t>
  </si>
  <si>
    <t xml:space="preserve">474 Hosack Street, 43207</t>
  </si>
  <si>
    <t xml:space="preserve">MORPC_089</t>
  </si>
  <si>
    <t xml:space="preserve">D8:BC:38:84:51:9E</t>
  </si>
  <si>
    <t xml:space="preserve">6725 Alkire Road, Galloway, 43119</t>
  </si>
  <si>
    <t xml:space="preserve">MORPC_090</t>
  </si>
  <si>
    <t xml:space="preserve">C8:C9:A3:F:9D:D0</t>
  </si>
  <si>
    <t xml:space="preserve">974 Sullivant Ave., 43223</t>
  </si>
  <si>
    <t xml:space="preserve">MORPC_091</t>
  </si>
  <si>
    <t xml:space="preserve">C8:C9:A3:F:9E:76</t>
  </si>
  <si>
    <t xml:space="preserve">5028 Gilwood Dr., 43206</t>
  </si>
  <si>
    <t xml:space="preserve">MORPC_092</t>
  </si>
  <si>
    <t xml:space="preserve">C8:C9:A3:F:9D:2B</t>
  </si>
  <si>
    <t xml:space="preserve">756 Thomas Ave., 43222</t>
  </si>
  <si>
    <t xml:space="preserve">MORPC_093</t>
  </si>
  <si>
    <t xml:space="preserve">C8:C9:A3:F:9E:70</t>
  </si>
  <si>
    <t xml:space="preserve">874 E Cooke Road, 43224</t>
  </si>
  <si>
    <t xml:space="preserve">MORPC_094</t>
  </si>
  <si>
    <t xml:space="preserve">D8:BC:38:84:78:1E</t>
  </si>
  <si>
    <t xml:space="preserve">2820 Azelda Street, 43211</t>
  </si>
  <si>
    <t xml:space="preserve">MORPC_095</t>
  </si>
  <si>
    <t xml:space="preserve">C8:C9:A3:F:9D:D5</t>
  </si>
  <si>
    <t xml:space="preserve">875 Minerva Ave, 43229</t>
  </si>
  <si>
    <t xml:space="preserve">MORPC_096</t>
  </si>
  <si>
    <t xml:space="preserve">D8:BC:38:84:77:D7</t>
  </si>
  <si>
    <t xml:space="preserve">96 Parkview Ave, Westerville, OH 43081</t>
  </si>
  <si>
    <t xml:space="preserve">MORPC_097</t>
  </si>
  <si>
    <t xml:space="preserve">C8:C9:A3:F:9E:7B</t>
  </si>
  <si>
    <t xml:space="preserve">220 Olde Ridendour Rd, 43230</t>
  </si>
  <si>
    <t xml:space="preserve">MORPC_098</t>
  </si>
  <si>
    <t xml:space="preserve">D8:BC:38:84:79:4D</t>
  </si>
  <si>
    <t xml:space="preserve">111 Liberty Street, Suite 100, 43215</t>
  </si>
  <si>
    <t xml:space="preserve">MORPC_099</t>
  </si>
  <si>
    <t xml:space="preserve">D8:BC:38:84:75:B6</t>
  </si>
  <si>
    <t xml:space="preserve">7560 Smoky Row Rd, Columbus OH - Collocation</t>
  </si>
  <si>
    <t xml:space="preserve">MORPC_100</t>
  </si>
  <si>
    <t xml:space="preserve">EC:64:C9:F8:B7:E5</t>
  </si>
  <si>
    <t xml:space="preserve">MORPC_101</t>
  </si>
  <si>
    <t xml:space="preserve">EC:64:C9:F8:BF:5E</t>
  </si>
  <si>
    <t xml:space="preserve">7561 Smoky Row Rd, Columbus OH - Collocation</t>
  </si>
  <si>
    <t xml:space="preserve">MORPC_102</t>
  </si>
  <si>
    <t xml:space="preserve">EC:64:C9:F8:BE:B4</t>
  </si>
  <si>
    <t xml:space="preserve">7562 Smoky Row Rd, Columbus OH - Collocation</t>
  </si>
  <si>
    <t xml:space="preserve">MORPC_103</t>
  </si>
  <si>
    <t xml:space="preserve">EC:64:C9:F8:BE:AD</t>
  </si>
  <si>
    <t xml:space="preserve">7563 Smoky Row Rd, Columbus OH - Collocation</t>
  </si>
  <si>
    <t xml:space="preserve">MORPC_104</t>
  </si>
  <si>
    <t xml:space="preserve">EC:64:C9:F8:BE:2D</t>
  </si>
  <si>
    <t xml:space="preserve">7564 Smoky Row Rd, Columbus OH - Collocation</t>
  </si>
  <si>
    <t xml:space="preserve">MORPC_105</t>
  </si>
  <si>
    <t xml:space="preserve">EC:64:C9:F8:BB:EE</t>
  </si>
  <si>
    <t xml:space="preserve">7565 Smoky Row Rd, Columbus OH - Collocation</t>
  </si>
  <si>
    <t xml:space="preserve">MORPC_106</t>
  </si>
  <si>
    <t xml:space="preserve">C4:D8:D5:1B:72:91</t>
  </si>
  <si>
    <t xml:space="preserve">7566 Smoky Row Rd, Columbus OH - Collocation</t>
  </si>
  <si>
    <t xml:space="preserve">MORPC_107</t>
  </si>
  <si>
    <t xml:space="preserve">EC:64:C9:F8:B7:FA</t>
  </si>
  <si>
    <t xml:space="preserve">7567 Smoky Row Rd, Columbus OH - Collocation</t>
  </si>
  <si>
    <t xml:space="preserve">MORPC_108</t>
  </si>
  <si>
    <t xml:space="preserve">C4:D8:D5:1B:72:97</t>
  </si>
  <si>
    <t xml:space="preserve">7568 Smoky Row Rd, Columbus OH - Collocation</t>
  </si>
  <si>
    <t xml:space="preserve">MORPC_109</t>
  </si>
  <si>
    <t xml:space="preserve">EC:64:C9:F8:C1:46</t>
  </si>
  <si>
    <t xml:space="preserve">7569 Smoky Row Rd, Columbus OH - Collocation</t>
  </si>
  <si>
    <t xml:space="preserve">MORPC_110</t>
  </si>
  <si>
    <t xml:space="preserve">EC:64:C9:F8:B8:23</t>
  </si>
  <si>
    <t xml:space="preserve">7570 Smoky Row Rd, Columbus OH - Collocation</t>
  </si>
  <si>
    <t xml:space="preserve">MORPC_111</t>
  </si>
  <si>
    <t xml:space="preserve">EC:64:C9:F8:BC:39</t>
  </si>
  <si>
    <t xml:space="preserve">7571 Smoky Row Rd, Columbus OH - Collocation</t>
  </si>
  <si>
    <t xml:space="preserve">MORPC_112</t>
  </si>
  <si>
    <t xml:space="preserve">EC:64:C9:F8:C2:51</t>
  </si>
  <si>
    <t xml:space="preserve">111 Liberty Street, Suite100 (MORPC office)</t>
  </si>
  <si>
    <t xml:space="preserve">MORPC_113</t>
  </si>
  <si>
    <t xml:space="preserve">EC:64:C9:F8:BC:3D</t>
  </si>
  <si>
    <t xml:space="preserve">MORPC_114</t>
  </si>
  <si>
    <t xml:space="preserve">EC:64:C9:F8:B7:84</t>
  </si>
  <si>
    <t xml:space="preserve">MORPC_115</t>
  </si>
  <si>
    <t xml:space="preserve">MORPC_116</t>
  </si>
  <si>
    <t xml:space="preserve">MORPC_117</t>
  </si>
  <si>
    <t xml:space="preserve">MORPC_118</t>
  </si>
  <si>
    <t xml:space="preserve">MORPC_119</t>
  </si>
  <si>
    <t xml:space="preserve">MORPC_120</t>
  </si>
  <si>
    <t xml:space="preserve">MORPC_121</t>
  </si>
  <si>
    <t xml:space="preserve">MORPC_122</t>
  </si>
  <si>
    <t xml:space="preserve">MORPC_123</t>
  </si>
  <si>
    <t xml:space="preserve">MORPC_124</t>
  </si>
  <si>
    <t xml:space="preserve">MORPC_125</t>
  </si>
  <si>
    <t xml:space="preserve">MORPC_126</t>
  </si>
  <si>
    <t xml:space="preserve">MORPC_127</t>
  </si>
  <si>
    <t xml:space="preserve">MORPC_OSU_001</t>
  </si>
  <si>
    <t xml:space="preserve">10:52:1C:41:5B:3E</t>
  </si>
  <si>
    <t xml:space="preserve">Not Functioning </t>
  </si>
  <si>
    <t xml:space="preserve">Temperature sensor not working - do not deploy</t>
  </si>
  <si>
    <t xml:space="preserve">MORPC_OSU_002</t>
  </si>
  <si>
    <t xml:space="preserve">10:52:1C:45:B:4B</t>
  </si>
  <si>
    <t xml:space="preserve">MORPC_OSU_003</t>
  </si>
  <si>
    <t xml:space="preserve">40:F5:20:1D:AD:6</t>
  </si>
  <si>
    <t xml:space="preserve">MORPC_OSU_004</t>
  </si>
  <si>
    <t xml:space="preserve">10:52:1C:44:23:71</t>
  </si>
  <si>
    <t xml:space="preserve">MORPC_OSU_005</t>
  </si>
  <si>
    <t xml:space="preserve">10:52:1C:41:9C:3A</t>
  </si>
  <si>
    <t xml:space="preserve">MORPC_OSU_006</t>
  </si>
  <si>
    <t xml:space="preserve">10:52:1C:41:D6:FA</t>
  </si>
  <si>
    <t xml:space="preserve">MORPC_OSU_007</t>
  </si>
  <si>
    <t xml:space="preserve">10:52:1C:4D:D3:9D</t>
  </si>
  <si>
    <t xml:space="preserve">MORPC_OSU_008</t>
  </si>
  <si>
    <t xml:space="preserve">10:52:1C:42:19:28</t>
  </si>
  <si>
    <t xml:space="preserve">Channels A &amp; B not tracking well - do not deploy</t>
  </si>
  <si>
    <t xml:space="preserve">MORPC_OSU_009</t>
  </si>
  <si>
    <t xml:space="preserve">10:52:1C:41:91:A7</t>
  </si>
  <si>
    <t xml:space="preserve">MORPC_OSU_010</t>
  </si>
  <si>
    <t xml:space="preserve">40:F5:20:16:EF:2C</t>
  </si>
  <si>
    <t xml:space="preserve">MORPC_OSU_011</t>
  </si>
  <si>
    <t xml:space="preserve">10:52:1C:4C:82:B4</t>
  </si>
  <si>
    <t xml:space="preserve">MORPC_OSU_012</t>
  </si>
  <si>
    <t xml:space="preserve">40:F5:20:17:D:2E</t>
  </si>
  <si>
    <t xml:space="preserve">MORPC_OSU_013</t>
  </si>
  <si>
    <t xml:space="preserve">40:F5:20:17:25:77</t>
  </si>
  <si>
    <t xml:space="preserve">MORPC_OSU_014</t>
  </si>
  <si>
    <t xml:space="preserve">10:52:1C:44:1E:F</t>
  </si>
  <si>
    <t xml:space="preserve">MORPC_OSU_015</t>
  </si>
  <si>
    <t xml:space="preserve">10:52:1C:42:1D:D4</t>
  </si>
  <si>
    <t xml:space="preserve">MORPC_OSU_016</t>
  </si>
  <si>
    <t xml:space="preserve">10:52:1C:44:1B:5D</t>
  </si>
  <si>
    <t xml:space="preserve">MORPC_OSU_017</t>
  </si>
  <si>
    <t xml:space="preserve">10:52:1C:44:CA:5A</t>
  </si>
  <si>
    <t xml:space="preserve">MORPC_OSU_018</t>
  </si>
  <si>
    <t xml:space="preserve">10:52:1C:44:EA:55</t>
  </si>
  <si>
    <t xml:space="preserve">MORPC_OSU_019</t>
  </si>
  <si>
    <t xml:space="preserve">10:52:1C:41:67:81</t>
  </si>
  <si>
    <t xml:space="preserve">MORPC_OSU_020</t>
  </si>
  <si>
    <t xml:space="preserve">40:F5:20:17:11:D7</t>
  </si>
  <si>
    <t xml:space="preserve">MORPC_OSU_021</t>
  </si>
  <si>
    <t xml:space="preserve">10:52:1C:4C:83:81</t>
  </si>
  <si>
    <t xml:space="preserve">MORPC_OSU_022</t>
  </si>
  <si>
    <t xml:space="preserve">10:52:1C:44:D2:CA</t>
  </si>
  <si>
    <t xml:space="preserve">MORPC_OSU_023</t>
  </si>
  <si>
    <t xml:space="preserve">10:52:1C:41:2E:F9</t>
  </si>
  <si>
    <t xml:space="preserve">Sensor malfunctioned &amp; was not collocated - do not deploy</t>
  </si>
  <si>
    <t xml:space="preserve">Neighborhood</t>
  </si>
  <si>
    <t xml:space="preserve">Address</t>
  </si>
  <si>
    <t xml:space="preserve">Location Type</t>
  </si>
  <si>
    <t xml:space="preserve">ZIP Code</t>
  </si>
  <si>
    <t xml:space="preserve">Contact Name</t>
  </si>
  <si>
    <t xml:space="preserve">Contact Email</t>
  </si>
  <si>
    <t xml:space="preserve">Phone Number</t>
  </si>
  <si>
    <t xml:space="preserve">Hotspot installed? (5 total)</t>
  </si>
  <si>
    <t xml:space="preserve"> Notes</t>
  </si>
  <si>
    <t xml:space="preserve">Old Town East</t>
  </si>
  <si>
    <t xml:space="preserve">1777 E Broad St</t>
  </si>
  <si>
    <t xml:space="preserve">Franklin Park Conservatory</t>
  </si>
  <si>
    <t xml:space="preserve">Garry Clarke</t>
  </si>
  <si>
    <t xml:space="preserve">gclarke@fpconservatory.org</t>
  </si>
  <si>
    <t xml:space="preserve">614-715-8074</t>
  </si>
  <si>
    <r>
      <rPr>
        <b val="true"/>
        <sz val="10"/>
        <color rgb="FF000000"/>
        <rFont val="Arial"/>
        <family val="2"/>
        <charset val="1"/>
      </rPr>
      <t xml:space="preserve">, Columbus- Dot on the map is 2 blocks south
2/24/22, </t>
    </r>
    <r>
      <rPr>
        <sz val="10"/>
        <color rgb="FF000000"/>
        <rFont val="Arial"/>
        <family val="2"/>
        <charset val="1"/>
      </rPr>
      <t xml:space="preserve">reset sensor and learned after resetting that the B channel on the sensor is broken. Will need to replace sensor. </t>
    </r>
    <r>
      <rPr>
        <b val="true"/>
        <sz val="10"/>
        <color rgb="FF000000"/>
        <rFont val="Arial"/>
        <family val="2"/>
        <charset val="1"/>
      </rPr>
      <t xml:space="preserve">3/3/22, </t>
    </r>
    <r>
      <rPr>
        <sz val="10"/>
        <color rgb="FF000000"/>
        <rFont val="Arial"/>
        <family val="2"/>
        <charset val="1"/>
      </rPr>
      <t xml:space="preserve">replaced sensor to a new sensor, MORPC_24.</t>
    </r>
  </si>
  <si>
    <t xml:space="preserve">Hilltop</t>
  </si>
  <si>
    <t xml:space="preserve">441 Nashoba Ave, Hilltop</t>
  </si>
  <si>
    <t xml:space="preserve">Private Residence</t>
  </si>
  <si>
    <t xml:space="preserve">Megan Fiscus</t>
  </si>
  <si>
    <t xml:space="preserve">megantheresefiscus@gmail.com</t>
  </si>
  <si>
    <t xml:space="preserve">Yes</t>
  </si>
  <si>
    <r>
      <rPr>
        <b val="true"/>
        <sz val="10"/>
        <color theme="1"/>
        <rFont val="Arial"/>
        <family val="2"/>
        <charset val="1"/>
      </rPr>
      <t xml:space="preserve">1/7/22,</t>
    </r>
    <r>
      <rPr>
        <sz val="10"/>
        <color theme="1"/>
        <rFont val="Arial"/>
        <family val="2"/>
        <charset val="1"/>
      </rPr>
      <t xml:space="preserve"> installed wifi hotspot. </t>
    </r>
  </si>
  <si>
    <t xml:space="preserve">Shepard</t>
  </si>
  <si>
    <t xml:space="preserve">850 N Nelson Rd, Columbus</t>
  </si>
  <si>
    <t xml:space="preserve">Library</t>
  </si>
  <si>
    <t xml:space="preserve">Andrew Kistler</t>
  </si>
  <si>
    <t xml:space="preserve">akistler@columbuslibrary.org</t>
  </si>
  <si>
    <t xml:space="preserve">614-849-1074</t>
  </si>
  <si>
    <r>
      <rPr>
        <b val="true"/>
        <sz val="10"/>
        <color rgb="FF000000"/>
        <rFont val="Arial"/>
        <family val="2"/>
        <charset val="1"/>
      </rPr>
      <t xml:space="preserve">5/31/22,</t>
    </r>
    <r>
      <rPr>
        <sz val="10"/>
        <color rgb="FF000000"/>
        <rFont val="Arial"/>
        <family val="2"/>
        <charset val="1"/>
      </rPr>
      <t xml:space="preserve"> sensor installed but could not be connected to wifi. Waiting on library IT staff to create a separate wifi network for the sensor to connect to. Once IT has that created, will go back out to get sensor online.</t>
    </r>
    <r>
      <rPr>
        <b val="true"/>
        <sz val="10"/>
        <color rgb="FF000000"/>
        <rFont val="Arial"/>
        <family val="2"/>
        <charset val="1"/>
      </rPr>
      <t xml:space="preserve"> 6/16/22,</t>
    </r>
    <r>
      <rPr>
        <sz val="10"/>
        <color rgb="FF000000"/>
        <rFont val="Arial"/>
        <family val="2"/>
        <charset val="1"/>
      </rPr>
      <t xml:space="preserve"> went out to connect sensor to wifi and sensor would not broadcast its wifi unplugged it for the weekend and will come back to try again. </t>
    </r>
    <r>
      <rPr>
        <b val="true"/>
        <sz val="10"/>
        <color rgb="FF000000"/>
        <rFont val="Arial"/>
        <family val="2"/>
        <charset val="1"/>
      </rPr>
      <t xml:space="preserve">6/23/22, </t>
    </r>
    <r>
      <rPr>
        <sz val="10"/>
        <color rgb="FF000000"/>
        <rFont val="Arial"/>
        <family val="2"/>
        <charset val="1"/>
      </rPr>
      <t xml:space="preserve">went out to connect sensor and the new wifi network was not discoverable to the purpleair as a network it could connect to. Reached out to their IT and they are making adjustments to the network. </t>
    </r>
    <r>
      <rPr>
        <b val="true"/>
        <sz val="10"/>
        <color rgb="FF000000"/>
        <rFont val="Arial"/>
        <family val="2"/>
        <charset val="1"/>
      </rPr>
      <t xml:space="preserve">7/26/22, </t>
    </r>
    <r>
      <rPr>
        <sz val="10"/>
        <color rgb="FF000000"/>
        <rFont val="Arial"/>
        <family val="2"/>
        <charset val="1"/>
      </rPr>
      <t xml:space="preserve">After hearing back from IT about network adjustments, went back out to connect the sensor and after putting the wifi password in, I keep getting an error message saying "wifi disconnected" reaching back out to IT. </t>
    </r>
    <r>
      <rPr>
        <b val="true"/>
        <sz val="10"/>
        <color rgb="FF000000"/>
        <rFont val="Arial"/>
        <family val="2"/>
        <charset val="1"/>
      </rPr>
      <t xml:space="preserve">8/10/22, </t>
    </r>
    <r>
      <rPr>
        <sz val="10"/>
        <color rgb="FF000000"/>
        <rFont val="Arial"/>
        <family val="2"/>
        <charset val="1"/>
      </rPr>
      <t xml:space="preserve">went back out after IT said the building was blocking the wifi signal. Decided that we would try to relocate the sensor to a light pole in the parking lot that was further away from the building. Upon trying to connect the sensor to wifi, I kep getting a "wifi disconnected" message. Noticed the wifi signal was very poor - thinking that is why the sensor would not connect. Reached back out to IT and they are going to come out with me next time to help troubleshoot the wifi network. </t>
    </r>
    <r>
      <rPr>
        <b val="true"/>
        <sz val="10"/>
        <color rgb="FF000000"/>
        <rFont val="Arial"/>
        <family val="2"/>
        <charset val="1"/>
      </rPr>
      <t xml:space="preserve">8/11/22, </t>
    </r>
    <r>
      <rPr>
        <sz val="10"/>
        <color rgb="FF000000"/>
        <rFont val="Arial"/>
        <family val="2"/>
        <charset val="1"/>
      </rPr>
      <t xml:space="preserve">met CML IT staff on site. They said the signal was not turned up enough, it was adjusted and the sensor was successfully connected and is now transmitting data online!!!</t>
    </r>
  </si>
  <si>
    <t xml:space="preserve">Grandview Heights</t>
  </si>
  <si>
    <t xml:space="preserve">1221 Chesapeake Ave</t>
  </si>
  <si>
    <t xml:space="preserve">Local Business (Steven's Catering)</t>
  </si>
  <si>
    <t xml:space="preserve">Kristian Sims</t>
  </si>
  <si>
    <t xml:space="preserve">kristiansims42@gmail.com</t>
  </si>
  <si>
    <r>
      <rPr>
        <b val="true"/>
        <sz val="10"/>
        <color rgb="FF000000"/>
        <rFont val="Arial"/>
        <family val="2"/>
        <charset val="1"/>
      </rPr>
      <t xml:space="preserve">11/23/22,</t>
    </r>
    <r>
      <rPr>
        <sz val="10"/>
        <color rgb="FF000000"/>
        <rFont val="Arial"/>
        <family val="2"/>
        <charset val="1"/>
      </rPr>
      <t xml:space="preserve"> reset the sensor bc the channels were not tracking well. </t>
    </r>
  </si>
  <si>
    <t xml:space="preserve">Linden</t>
  </si>
  <si>
    <t xml:space="preserve">2768 Audubon Road </t>
  </si>
  <si>
    <t xml:space="preserve">Benjamin Keith</t>
  </si>
  <si>
    <t xml:space="preserve">benlkeith@gmail.com</t>
  </si>
  <si>
    <t xml:space="preserve">Whitehall</t>
  </si>
  <si>
    <t xml:space="preserve">1220 Striebel Rd</t>
  </si>
  <si>
    <t xml:space="preserve">Carol Stitzlein</t>
  </si>
  <si>
    <t xml:space="preserve">bflycook@aol.com</t>
  </si>
  <si>
    <t xml:space="preserve">614-236-4915</t>
  </si>
  <si>
    <t xml:space="preserve">Far South</t>
  </si>
  <si>
    <t xml:space="preserve">1575 Studer Ave </t>
  </si>
  <si>
    <t xml:space="preserve">Katharine Harding</t>
  </si>
  <si>
    <t xml:space="preserve">katharine6547@gmail.com</t>
  </si>
  <si>
    <r>
      <rPr>
        <b val="true"/>
        <sz val="10"/>
        <color rgb="FF000000"/>
        <rFont val="Arial"/>
        <family val="2"/>
        <charset val="1"/>
      </rPr>
      <t xml:space="preserve">7/12/22,</t>
    </r>
    <r>
      <rPr>
        <sz val="10"/>
        <color rgb="FF000000"/>
        <rFont val="Arial"/>
        <family val="2"/>
        <charset val="1"/>
      </rPr>
      <t xml:space="preserve"> MORPC_17 was installed in place of MORPC_22. MORPC_22 was still transmitting it's hotspot and showing up on my list of wifi connections, but the sensor would not connect to wifi, so I decided to switch it out and will troubleshoot with MORPC_22 to see if I can get it up and running again for another site.</t>
    </r>
  </si>
  <si>
    <t xml:space="preserve">4445 E Broad St </t>
  </si>
  <si>
    <r>
      <rPr>
        <b val="true"/>
        <strike val="true"/>
        <sz val="10"/>
        <color rgb="FF000000"/>
        <rFont val="Arial"/>
        <family val="2"/>
        <charset val="1"/>
      </rPr>
      <t xml:space="preserve">9/28/22,</t>
    </r>
    <r>
      <rPr>
        <strike val="true"/>
        <sz val="10"/>
        <color rgb="FF000000"/>
        <rFont val="Arial"/>
        <family val="2"/>
        <charset val="1"/>
      </rPr>
      <t xml:space="preserve"> MORPC_34 was replaced with MORPC_22. </t>
    </r>
    <r>
      <rPr>
        <b val="true"/>
        <strike val="true"/>
        <sz val="10"/>
        <color rgb="FF000000"/>
        <rFont val="Arial"/>
        <family val="2"/>
        <charset val="1"/>
      </rPr>
      <t xml:space="preserve">1/26/23,</t>
    </r>
    <r>
      <rPr>
        <strike val="true"/>
        <sz val="10"/>
        <color rgb="FF000000"/>
        <rFont val="Arial"/>
        <family val="2"/>
        <charset val="1"/>
      </rPr>
      <t xml:space="preserve"> sensor was reset because it was offline. </t>
    </r>
    <r>
      <rPr>
        <b val="true"/>
        <strike val="true"/>
        <sz val="10"/>
        <color rgb="FF000000"/>
        <rFont val="Arial"/>
        <family val="2"/>
        <charset val="1"/>
      </rPr>
      <t xml:space="preserve">2/9/23,</t>
    </r>
    <r>
      <rPr>
        <strike val="true"/>
        <sz val="10"/>
        <color rgb="FF000000"/>
        <rFont val="Arial"/>
        <family val="2"/>
        <charset val="1"/>
      </rPr>
      <t xml:space="preserve"> sensor was removed because there was no channel agreement. Prince took to MORPC to test it out to see if it still works</t>
    </r>
  </si>
  <si>
    <r>
      <rPr>
        <b val="true"/>
        <sz val="10"/>
        <color rgb="FF000000"/>
        <rFont val="Arial"/>
        <family val="2"/>
        <charset val="1"/>
      </rPr>
      <t xml:space="preserve">6/6/22, </t>
    </r>
    <r>
      <rPr>
        <sz val="10"/>
        <color rgb="FF000000"/>
        <rFont val="Arial"/>
        <family val="2"/>
        <charset val="1"/>
      </rPr>
      <t xml:space="preserve">noticing that the sensor drops off and jumps back onto the map multiple times a day. Going to see if a hotspot can be installed for a stronger WiFi connection. Site host said they have been having trouble with their internet service.</t>
    </r>
    <r>
      <rPr>
        <b val="true"/>
        <sz val="10"/>
        <color rgb="FF000000"/>
        <rFont val="Arial"/>
        <family val="2"/>
        <charset val="1"/>
      </rPr>
      <t xml:space="preserve"> 6/16/22, </t>
    </r>
    <r>
      <rPr>
        <sz val="10"/>
        <color rgb="FF000000"/>
        <rFont val="Arial"/>
        <family val="2"/>
        <charset val="1"/>
      </rPr>
      <t xml:space="preserve">went out to install a hotspot because sensor kept dropping off the map. Called purpleair to have the sensor reset, but sensor would not disconnect from the resident's wifi connection. Left sensor unplugged in hopes that would help it disconnect.</t>
    </r>
    <r>
      <rPr>
        <b val="true"/>
        <sz val="10"/>
        <color rgb="FF000000"/>
        <rFont val="Arial"/>
        <family val="2"/>
        <charset val="1"/>
      </rPr>
      <t xml:space="preserve"> 6/23/22,</t>
    </r>
    <r>
      <rPr>
        <sz val="10"/>
        <color rgb="FF000000"/>
        <rFont val="Arial"/>
        <family val="2"/>
        <charset val="1"/>
      </rPr>
      <t xml:space="preserve"> plugged sensor back in when I got there and it immedistaly connected back to host's wifi connection. removed sensor from the property and sat in a nearby parking lot for 30 mins in hopes the sensor would disconnect since it was out of range from the network. took sensor back and it still connected to hosts wifi. took sensor home with me in hopes that it would help disconnect from the wifi. </t>
    </r>
    <r>
      <rPr>
        <b val="true"/>
        <sz val="10"/>
        <color rgb="FF000000"/>
        <rFont val="Arial"/>
        <family val="2"/>
        <charset val="1"/>
      </rPr>
      <t xml:space="preserve">7/12/22, </t>
    </r>
    <r>
      <rPr>
        <sz val="10"/>
        <color rgb="FF000000"/>
        <rFont val="Arial"/>
        <family val="2"/>
        <charset val="1"/>
      </rPr>
      <t xml:space="preserve">Took sensor back to site host's property to see if I could successfully connect it to the hotspot. Sensor was still immediately connecting back to the host's home WiFi. I brought a second sensor if this was the case and decided to install MORPC_17 in place of MORPC_22.</t>
    </r>
  </si>
  <si>
    <t xml:space="preserve">Clintonville</t>
  </si>
  <si>
    <t xml:space="preserve">5271 N High St </t>
  </si>
  <si>
    <t xml:space="preserve">COTA Transfer Station</t>
  </si>
  <si>
    <t xml:space="preserve">Russell Joehlin</t>
  </si>
  <si>
    <t xml:space="preserve">rjoehlin@alterrare.com</t>
  </si>
  <si>
    <t xml:space="preserve">No</t>
  </si>
  <si>
    <r>
      <rPr>
        <b val="true"/>
        <sz val="10"/>
        <color rgb="FF000000"/>
        <rFont val="Arial"/>
        <family val="2"/>
        <charset val="1"/>
      </rPr>
      <t xml:space="preserve">2/28/22,</t>
    </r>
    <r>
      <rPr>
        <sz val="10"/>
        <color rgb="FF000000"/>
        <rFont val="Arial"/>
        <family val="2"/>
        <charset val="1"/>
      </rPr>
      <t xml:space="preserve"> reset sensor bc temperature/humidity measurements had been stuck at the same readings for a while. </t>
    </r>
    <r>
      <rPr>
        <b val="true"/>
        <sz val="10"/>
        <color rgb="FF000000"/>
        <rFont val="Arial"/>
        <family val="2"/>
        <charset val="1"/>
      </rPr>
      <t xml:space="preserve">12/19/22, </t>
    </r>
    <r>
      <rPr>
        <sz val="10"/>
        <color rgb="FF000000"/>
        <rFont val="Arial"/>
        <family val="2"/>
        <charset val="1"/>
      </rPr>
      <t xml:space="preserve">noticed that all 3 COTA sensors went offline on the same day and were no longer transmitting data to the map. Reached out to site host who said that the WiFi to all COTA sites is down for reasons out of their control. He said he will reach out to me when the WiFi is back up and running. </t>
    </r>
    <r>
      <rPr>
        <b val="true"/>
        <sz val="10"/>
        <color rgb="FF000000"/>
        <rFont val="Arial"/>
        <family val="2"/>
        <charset val="1"/>
      </rPr>
      <t xml:space="preserve">1/4/23,</t>
    </r>
    <r>
      <rPr>
        <sz val="10"/>
        <color rgb="FF000000"/>
        <rFont val="Arial"/>
        <family val="2"/>
        <charset val="1"/>
      </rPr>
      <t xml:space="preserve"> reached back out to site host to get an update on the WiFi situation. Host said there is no change and that WiFi for all COTA sites is still offline and that he will reach out when WiFi is back on. </t>
    </r>
    <r>
      <rPr>
        <b val="true"/>
        <sz val="10"/>
        <color rgb="FF000000"/>
        <rFont val="Arial"/>
        <family val="2"/>
        <charset val="1"/>
      </rPr>
      <t xml:space="preserve">3/27/23,</t>
    </r>
    <r>
      <rPr>
        <sz val="10"/>
        <color rgb="FF000000"/>
        <rFont val="Arial"/>
        <family val="2"/>
        <charset val="1"/>
      </rPr>
      <t xml:space="preserve"> reached back out to site host for an update and was told the WiFi is still out. </t>
    </r>
    <r>
      <rPr>
        <b val="true"/>
        <sz val="10"/>
        <color rgb="FF000000"/>
        <rFont val="Arial"/>
        <family val="2"/>
        <charset val="1"/>
      </rPr>
      <t xml:space="preserve">5/17/23,</t>
    </r>
    <r>
      <rPr>
        <sz val="10"/>
        <color rgb="FF000000"/>
        <rFont val="Arial"/>
        <family val="2"/>
        <charset val="1"/>
      </rPr>
      <t xml:space="preserve"> reached back out to site host for am update on WiFi. Have not received a reply back yet.</t>
    </r>
    <r>
      <rPr>
        <b val="true"/>
        <sz val="10"/>
        <color rgb="FF000000"/>
        <rFont val="Arial"/>
        <family val="2"/>
        <charset val="1"/>
      </rPr>
      <t xml:space="preserve"> 11/7/23,</t>
    </r>
    <r>
      <rPr>
        <sz val="10"/>
        <color rgb="FF000000"/>
        <rFont val="Arial"/>
        <family val="2"/>
        <charset val="1"/>
      </rPr>
      <t xml:space="preserve"> reached out to site host for a WiFi update..have not received a reply yet. </t>
    </r>
  </si>
  <si>
    <r>
      <rPr>
        <strike val="true"/>
        <sz val="10"/>
        <color rgb="FF222222"/>
        <rFont val="Arial"/>
        <family val="2"/>
        <charset val="1"/>
      </rPr>
      <t xml:space="preserve">1777 E Broad St, Columbus</t>
    </r>
    <r>
      <rPr>
        <strike val="true"/>
        <sz val="8"/>
        <color rgb="FF222222"/>
        <rFont val="Arial"/>
        <family val="2"/>
        <charset val="1"/>
      </rPr>
      <t xml:space="preserve">- Dot on the map is 2 blocks south</t>
    </r>
  </si>
  <si>
    <r>
      <rPr>
        <b val="true"/>
        <strike val="true"/>
        <sz val="10"/>
        <color rgb="FF000000"/>
        <rFont val="Arial"/>
        <family val="2"/>
        <charset val="1"/>
      </rPr>
      <t xml:space="preserve"> 3/3/22,</t>
    </r>
    <r>
      <rPr>
        <strike val="true"/>
        <sz val="10"/>
        <color rgb="FF000000"/>
        <rFont val="Arial"/>
        <family val="2"/>
        <charset val="1"/>
      </rPr>
      <t xml:space="preserve"> sensor deployed. </t>
    </r>
    <r>
      <rPr>
        <b val="true"/>
        <strike val="true"/>
        <sz val="10"/>
        <color rgb="FF000000"/>
        <rFont val="Arial"/>
        <family val="2"/>
        <charset val="1"/>
      </rPr>
      <t xml:space="preserve">5/24/22,</t>
    </r>
    <r>
      <rPr>
        <strike val="true"/>
        <sz val="10"/>
        <color rgb="FF000000"/>
        <rFont val="Arial"/>
        <family val="2"/>
        <charset val="1"/>
      </rPr>
      <t xml:space="preserve"> visited FPC because sensor had been offline for several weeks. Ground fault for the light pole was tripped so the sensor was not receiving power and the wifi booster in the nearby conference room was unplugged. We also did a site assessment and identified the support greenhouse as a second site if the light pole location continues to fail. </t>
    </r>
    <r>
      <rPr>
        <b val="true"/>
        <strike val="true"/>
        <sz val="10"/>
        <color rgb="FF000000"/>
        <rFont val="Arial"/>
        <family val="2"/>
        <charset val="1"/>
      </rPr>
      <t xml:space="preserve">6/15/22, </t>
    </r>
    <r>
      <rPr>
        <strike val="true"/>
        <sz val="10"/>
        <color rgb="FF000000"/>
        <rFont val="Arial"/>
        <family val="2"/>
        <charset val="1"/>
      </rPr>
      <t xml:space="preserve">moved sensor from light pole to greenhouse nearby. </t>
    </r>
    <r>
      <rPr>
        <b val="true"/>
        <strike val="true"/>
        <sz val="10"/>
        <color rgb="FF000000"/>
        <rFont val="Arial"/>
        <family val="2"/>
        <charset val="1"/>
      </rPr>
      <t xml:space="preserve">3/27/23,</t>
    </r>
    <r>
      <rPr>
        <strike val="true"/>
        <sz val="10"/>
        <color rgb="FF000000"/>
        <rFont val="Arial"/>
        <family val="2"/>
        <charset val="1"/>
      </rPr>
      <t xml:space="preserve"> Reached out to site host because sensor had been offline for 5 days. Host reset sensor and it did not turn back on. Host said he thinks sensor was damaged from a storm that happened last week. </t>
    </r>
  </si>
  <si>
    <t xml:space="preserve">3540 S High St, Columbus</t>
  </si>
  <si>
    <r>
      <rPr>
        <b val="true"/>
        <sz val="10"/>
        <color theme="1"/>
        <rFont val="Arial"/>
        <family val="2"/>
        <charset val="1"/>
      </rPr>
      <t xml:space="preserve">2/24/22,</t>
    </r>
    <r>
      <rPr>
        <sz val="10"/>
        <color theme="1"/>
        <rFont val="Arial"/>
        <family val="2"/>
        <charset val="1"/>
      </rPr>
      <t xml:space="preserve"> installed wifi hotspot.</t>
    </r>
  </si>
  <si>
    <t xml:space="preserve">1390 Cleveland Ave </t>
  </si>
  <si>
    <r>
      <rPr>
        <b val="true"/>
        <sz val="10"/>
        <color rgb="FF000000"/>
        <rFont val="Arial"/>
        <family val="2"/>
        <charset val="1"/>
      </rPr>
      <t xml:space="preserve">9/8/22, </t>
    </r>
    <r>
      <rPr>
        <sz val="10"/>
        <color rgb="FF000000"/>
        <rFont val="Arial"/>
        <family val="2"/>
        <charset val="1"/>
      </rPr>
      <t xml:space="preserve">sensor was reset because it had been falling off the real-time map. Russell said he will look into having a wifi access point placed near the sensor to help strengthen the wifi signal. </t>
    </r>
    <r>
      <rPr>
        <b val="true"/>
        <sz val="10"/>
        <color rgb="FF000000"/>
        <rFont val="Arial"/>
        <family val="2"/>
        <charset val="1"/>
      </rPr>
      <t xml:space="preserve">12/19/22, </t>
    </r>
    <r>
      <rPr>
        <sz val="10"/>
        <color rgb="FF000000"/>
        <rFont val="Arial"/>
        <family val="2"/>
        <charset val="1"/>
      </rPr>
      <t xml:space="preserve">noticed that all 3 COTA sensors went offline on the same day and were no longer transmitting data to the map. Reached out to site host who said that the WiFi to all COTA sites is down for reasons out of their control. He said he will reach out to me when the WiFi is back up and running. </t>
    </r>
    <r>
      <rPr>
        <b val="true"/>
        <sz val="10"/>
        <color rgb="FF000000"/>
        <rFont val="Arial"/>
        <family val="2"/>
        <charset val="1"/>
      </rPr>
      <t xml:space="preserve">1/4/23</t>
    </r>
    <r>
      <rPr>
        <sz val="10"/>
        <color rgb="FF000000"/>
        <rFont val="Arial"/>
        <family val="2"/>
        <charset val="1"/>
      </rPr>
      <t xml:space="preserve">, reached back out to site host to get an update on the WiFi situation. Host said there is no change and that WiFi for all COTA sites is still offline and that he will reach out when WiFi is back on. </t>
    </r>
    <r>
      <rPr>
        <b val="true"/>
        <sz val="10"/>
        <color rgb="FF000000"/>
        <rFont val="Arial"/>
        <family val="2"/>
        <charset val="1"/>
      </rPr>
      <t xml:space="preserve">3/27/23,</t>
    </r>
    <r>
      <rPr>
        <sz val="10"/>
        <color rgb="FF000000"/>
        <rFont val="Arial"/>
        <family val="2"/>
        <charset val="1"/>
      </rPr>
      <t xml:space="preserve"> reached back out to site host for an update and was told the WiFi is still out. </t>
    </r>
    <r>
      <rPr>
        <b val="true"/>
        <sz val="10"/>
        <color rgb="FF000000"/>
        <rFont val="Arial"/>
        <family val="2"/>
        <charset val="1"/>
      </rPr>
      <t xml:space="preserve">5/17/23,</t>
    </r>
    <r>
      <rPr>
        <sz val="10"/>
        <color rgb="FF000000"/>
        <rFont val="Arial"/>
        <family val="2"/>
        <charset val="1"/>
      </rPr>
      <t xml:space="preserve"> reached back out to site host for am update on WiFi. Have not received a reply back yet. </t>
    </r>
    <r>
      <rPr>
        <b val="true"/>
        <sz val="10"/>
        <color rgb="FF000000"/>
        <rFont val="Arial"/>
        <family val="2"/>
        <charset val="1"/>
      </rPr>
      <t xml:space="preserve">11/7/23,</t>
    </r>
    <r>
      <rPr>
        <sz val="10"/>
        <color rgb="FF000000"/>
        <rFont val="Arial"/>
        <family val="2"/>
        <charset val="1"/>
      </rPr>
      <t xml:space="preserve"> reached out to site host for a WiFi update..have not received a reply yet. </t>
    </r>
  </si>
  <si>
    <t xml:space="preserve">Bexley</t>
  </si>
  <si>
    <t xml:space="preserve">2242 E Main St, Bexley</t>
  </si>
  <si>
    <t xml:space="preserve">City Hall Building</t>
  </si>
  <si>
    <t xml:space="preserve">Elizabeth Ellman</t>
  </si>
  <si>
    <t xml:space="preserve">eellman@bexley.org </t>
  </si>
  <si>
    <t xml:space="preserve">614-559-4250</t>
  </si>
  <si>
    <r>
      <rPr>
        <b val="true"/>
        <sz val="10"/>
        <color rgb="FF000000"/>
        <rFont val="Arial"/>
        <family val="2"/>
        <charset val="1"/>
      </rPr>
      <t xml:space="preserve">5/11/22, </t>
    </r>
    <r>
      <rPr>
        <sz val="10"/>
        <color rgb="FF000000"/>
        <rFont val="Arial"/>
        <family val="2"/>
        <charset val="1"/>
      </rPr>
      <t xml:space="preserve">sensor installed at City Hall</t>
    </r>
  </si>
  <si>
    <t xml:space="preserve">1125 East Main St, Columbus </t>
  </si>
  <si>
    <r>
      <rPr>
        <b val="true"/>
        <sz val="10"/>
        <color rgb="FF000000"/>
        <rFont val="Arial"/>
        <family val="2"/>
        <charset val="1"/>
      </rPr>
      <t xml:space="preserve">3/8/22,</t>
    </r>
    <r>
      <rPr>
        <sz val="10"/>
        <color rgb="FF000000"/>
        <rFont val="Arial"/>
        <family val="2"/>
        <charset val="1"/>
      </rPr>
      <t xml:space="preserve"> data seems to stop collecting multiple times in a day. went out to the site and power cord was not plugged in/there was not enough slack last time, jennie said a second zip tie. </t>
    </r>
    <r>
      <rPr>
        <b val="true"/>
        <sz val="10"/>
        <color rgb="FF000000"/>
        <rFont val="Arial"/>
        <family val="2"/>
        <charset val="1"/>
      </rPr>
      <t xml:space="preserve">4/13/22,</t>
    </r>
    <r>
      <rPr>
        <sz val="10"/>
        <color rgb="FF000000"/>
        <rFont val="Arial"/>
        <family val="2"/>
        <charset val="1"/>
      </rPr>
      <t xml:space="preserve"> reached out to site host because sensor was offline after performing weekly network check. Site host reset the sensor for us and sensor is back online. </t>
    </r>
    <r>
      <rPr>
        <b val="true"/>
        <sz val="10"/>
        <color rgb="FF000000"/>
        <rFont val="Arial"/>
        <family val="2"/>
        <charset val="1"/>
      </rPr>
      <t xml:space="preserve">5/31/22, </t>
    </r>
    <r>
      <rPr>
        <sz val="10"/>
        <color rgb="FF000000"/>
        <rFont val="Arial"/>
        <family val="2"/>
        <charset val="1"/>
      </rPr>
      <t xml:space="preserve">went out to troubleshoot sensor. noticed sensor was offline after weekly netowrk check. unplugged sensor to reset and sensor popped back up on the map. </t>
    </r>
    <r>
      <rPr>
        <b val="true"/>
        <sz val="10"/>
        <color rgb="FF000000"/>
        <rFont val="Arial"/>
        <family val="2"/>
        <charset val="1"/>
      </rPr>
      <t xml:space="preserve">8/9/22, </t>
    </r>
    <r>
      <rPr>
        <sz val="10"/>
        <color rgb="FF000000"/>
        <rFont val="Arial"/>
        <family val="2"/>
        <charset val="1"/>
      </rPr>
      <t xml:space="preserve">went out because sensor was offline. Reset the sensor and it still did not pop up on the map wifi signal is very weak. Going to reach out to our contact and see what wifi network it is connected to and try to figure out if we need a hotspot or if we can connect to another network in the building with a stronger signal.</t>
    </r>
    <r>
      <rPr>
        <b val="true"/>
        <sz val="10"/>
        <color rgb="FF000000"/>
        <rFont val="Arial"/>
        <family val="2"/>
        <charset val="1"/>
      </rPr>
      <t xml:space="preserve">12/19/22,</t>
    </r>
    <r>
      <rPr>
        <sz val="10"/>
        <color rgb="FF000000"/>
        <rFont val="Arial"/>
        <family val="2"/>
        <charset val="1"/>
      </rPr>
      <t xml:space="preserve"> noticed that all 3 COTA sensors went offline on the same day and were no longer transmitting data to the map. Reached out to site host who said that the WiFi to all COTA sites is down for reasons out of their control. He said he will reach out to me when the WiFi is back up and running. </t>
    </r>
    <r>
      <rPr>
        <b val="true"/>
        <sz val="10"/>
        <color rgb="FF000000"/>
        <rFont val="Arial"/>
        <family val="2"/>
        <charset val="1"/>
      </rPr>
      <t xml:space="preserve">1/4/23,</t>
    </r>
    <r>
      <rPr>
        <sz val="10"/>
        <color rgb="FF000000"/>
        <rFont val="Arial"/>
        <family val="2"/>
        <charset val="1"/>
      </rPr>
      <t xml:space="preserve"> reached back out to site host to get an update on the WiFi situation. Host said there is no change and that WiFi for all COTA sites is still offline and that he will reach out when WiFi is back on.</t>
    </r>
    <r>
      <rPr>
        <b val="true"/>
        <sz val="10"/>
        <color rgb="FF000000"/>
        <rFont val="Arial"/>
        <family val="2"/>
        <charset val="1"/>
      </rPr>
      <t xml:space="preserve"> 3/27/23, </t>
    </r>
    <r>
      <rPr>
        <sz val="10"/>
        <color rgb="FF000000"/>
        <rFont val="Arial"/>
        <family val="2"/>
        <charset val="1"/>
      </rPr>
      <t xml:space="preserve">reached back out to site host for an update and was told the WiFi is still out. </t>
    </r>
    <r>
      <rPr>
        <b val="true"/>
        <sz val="10"/>
        <color rgb="FF000000"/>
        <rFont val="Arial"/>
        <family val="2"/>
        <charset val="1"/>
      </rPr>
      <t xml:space="preserve">5/17/23,</t>
    </r>
    <r>
      <rPr>
        <sz val="10"/>
        <color rgb="FF000000"/>
        <rFont val="Arial"/>
        <family val="2"/>
        <charset val="1"/>
      </rPr>
      <t xml:space="preserve"> reached back out to site host for am update on WiFi. Have not received a reply back yet. </t>
    </r>
    <r>
      <rPr>
        <b val="true"/>
        <sz val="10"/>
        <color rgb="FF000000"/>
        <rFont val="Arial"/>
        <family val="2"/>
        <charset val="1"/>
      </rPr>
      <t xml:space="preserve">11/7/23, </t>
    </r>
    <r>
      <rPr>
        <sz val="10"/>
        <color rgb="FF000000"/>
        <rFont val="Arial"/>
        <family val="2"/>
        <charset val="1"/>
      </rPr>
      <t xml:space="preserve">reached out to site host for a WiFi update..have not received a reply yet. </t>
    </r>
  </si>
  <si>
    <t xml:space="preserve">251 E Weber Rd</t>
  </si>
  <si>
    <t xml:space="preserve">Jared Laughbaum</t>
  </si>
  <si>
    <t xml:space="preserve">jlaughbaum7833@columbus.k12.oh.us</t>
  </si>
  <si>
    <r>
      <rPr>
        <b val="true"/>
        <sz val="10"/>
        <color rgb="FF000000"/>
        <rFont val="Arial"/>
        <family val="2"/>
        <charset val="1"/>
      </rPr>
      <t xml:space="preserve">9/19/22,</t>
    </r>
    <r>
      <rPr>
        <sz val="10"/>
        <color rgb="FF000000"/>
        <rFont val="Arial"/>
        <family val="2"/>
        <charset val="1"/>
      </rPr>
      <t xml:space="preserve"> went out because sensor has been offline since the beginning of summer. Had to wait until school started back up (for the building to open) before I could get to the sensor to troubleshoot. Checked the power to the outlet which worked, but sensor would not show up on the map after being reset. Layla is going to have it reset by purpleair tech and then will schedule another maintenance meeting. </t>
    </r>
    <r>
      <rPr>
        <b val="true"/>
        <sz val="10"/>
        <color rgb="FF000000"/>
        <rFont val="Arial"/>
        <family val="2"/>
        <charset val="1"/>
      </rPr>
      <t xml:space="preserve">1/10/22, </t>
    </r>
    <r>
      <rPr>
        <sz val="10"/>
        <color rgb="FF000000"/>
        <rFont val="Arial"/>
        <family val="2"/>
        <charset val="1"/>
      </rPr>
      <t xml:space="preserve">went back out and identified that MORPC_29 is no longer working. sensor has been taken down and we will be replacing with MORPC_21. </t>
    </r>
  </si>
  <si>
    <t xml:space="preserve">COSI</t>
  </si>
  <si>
    <t xml:space="preserve">333 W Broad S, Columbus</t>
  </si>
  <si>
    <t xml:space="preserve">COSI - Big Science Park</t>
  </si>
  <si>
    <t xml:space="preserve">Andy Achiele</t>
  </si>
  <si>
    <t xml:space="preserve">aaichele@cosi.org</t>
  </si>
  <si>
    <t xml:space="preserve">614-629-3110</t>
  </si>
  <si>
    <r>
      <rPr>
        <strike val="true"/>
        <sz val="10"/>
        <color rgb="FF000000"/>
        <rFont val="Arial"/>
        <family val="2"/>
        <charset val="1"/>
      </rPr>
      <t xml:space="preserve">1295 Glenn Ave</t>
    </r>
    <r>
      <rPr>
        <strike val="true"/>
        <sz val="8"/>
        <color rgb="FF000000"/>
        <rFont val="Arial"/>
        <family val="2"/>
        <charset val="1"/>
      </rPr>
      <t xml:space="preserve"> </t>
    </r>
  </si>
  <si>
    <t xml:space="preserve">Andy Leber</t>
  </si>
  <si>
    <t xml:space="preserve">aleber@gmail.com</t>
  </si>
  <si>
    <t xml:space="preserve">REMOVED 8/19/2024</t>
  </si>
  <si>
    <t xml:space="preserve">251 E Weber Rd, Clintonville</t>
  </si>
  <si>
    <t xml:space="preserve">Indianola Informal K-8 School</t>
  </si>
  <si>
    <r>
      <rPr>
        <b val="true"/>
        <sz val="10"/>
        <color rgb="FF000000"/>
        <rFont val="Arial"/>
        <family val="2"/>
        <charset val="1"/>
      </rPr>
      <t xml:space="preserve">4/4/2023,</t>
    </r>
    <r>
      <rPr>
        <sz val="10"/>
        <color rgb="FF000000"/>
        <rFont val="Arial"/>
        <family val="2"/>
        <charset val="1"/>
      </rPr>
      <t xml:space="preserve"> MORPC_32 installed </t>
    </r>
  </si>
  <si>
    <t xml:space="preserve">Eastland</t>
  </si>
  <si>
    <t xml:space="preserve">2527 Nassau Drive </t>
  </si>
  <si>
    <t xml:space="preserve">Jessica Brewer</t>
  </si>
  <si>
    <t xml:space="preserve">jessica.brewer02@gmail.com</t>
  </si>
  <si>
    <r>
      <rPr>
        <b val="true"/>
        <sz val="10"/>
        <color rgb="FF000000"/>
        <rFont val="Arial"/>
        <family val="2"/>
        <charset val="1"/>
      </rPr>
      <t xml:space="preserve">11/11/22,</t>
    </r>
    <r>
      <rPr>
        <sz val="10"/>
        <color rgb="FF000000"/>
        <rFont val="Arial"/>
        <family val="2"/>
        <charset val="1"/>
      </rPr>
      <t xml:space="preserve"> Host reached out to ask when the sensor will be removed becase they will be moving. Given updates provided by team member (Brandi), host agreed to host the sensor till April, 2023. </t>
    </r>
    <r>
      <rPr>
        <b val="true"/>
        <sz val="10"/>
        <color rgb="FF000000"/>
        <rFont val="Arial"/>
        <family val="2"/>
        <charset val="1"/>
      </rPr>
      <t xml:space="preserve">2/17/23, </t>
    </r>
    <r>
      <rPr>
        <sz val="10"/>
        <color rgb="FF000000"/>
        <rFont val="Arial"/>
        <family val="2"/>
        <charset val="1"/>
      </rPr>
      <t xml:space="preserve">sensor removed from site because host was moving to a new location.</t>
    </r>
  </si>
  <si>
    <t xml:space="preserve">Franklinton</t>
  </si>
  <si>
    <t xml:space="preserve">897 W Broad St, Columbus</t>
  </si>
  <si>
    <t xml:space="preserve">Local Business (Franklinton Cycle Works)</t>
  </si>
  <si>
    <t xml:space="preserve">Jonathan Youngman</t>
  </si>
  <si>
    <t xml:space="preserve">info@franklintoncycleworks.org</t>
  </si>
  <si>
    <t xml:space="preserve">614-407-5161</t>
  </si>
  <si>
    <r>
      <rPr>
        <b val="true"/>
        <strike val="true"/>
        <sz val="10"/>
        <color rgb="FF000000"/>
        <rFont val="Arial"/>
        <family val="2"/>
        <charset val="1"/>
      </rPr>
      <t xml:space="preserve">3/24/22,</t>
    </r>
    <r>
      <rPr>
        <strike val="true"/>
        <sz val="10"/>
        <color rgb="FF000000"/>
        <rFont val="Arial"/>
        <family val="2"/>
        <charset val="1"/>
      </rPr>
      <t xml:space="preserve"> data seems to stop. </t>
    </r>
    <r>
      <rPr>
        <b val="true"/>
        <strike val="true"/>
        <sz val="10"/>
        <color rgb="FF000000"/>
        <rFont val="Arial"/>
        <family val="2"/>
        <charset val="1"/>
      </rPr>
      <t xml:space="preserve">4/7/2022</t>
    </r>
    <r>
      <rPr>
        <strike val="true"/>
        <sz val="10"/>
        <color rgb="FF000000"/>
        <rFont val="Arial"/>
        <family val="2"/>
        <charset val="1"/>
      </rPr>
      <t xml:space="preserve">, went out and found that the sensor accidentally got unplugged. Removed on 3/7/2024.</t>
    </r>
  </si>
  <si>
    <r>
      <rPr>
        <strike val="true"/>
        <sz val="10"/>
        <color theme="1"/>
        <rFont val="Arial"/>
        <family val="2"/>
        <charset val="1"/>
      </rPr>
      <t xml:space="preserve">4445 E Broad St </t>
    </r>
    <r>
      <rPr>
        <strike val="true"/>
        <sz val="8"/>
        <color theme="1"/>
        <rFont val="Arial"/>
        <family val="2"/>
        <charset val="1"/>
      </rPr>
      <t xml:space="preserve">(Library)</t>
    </r>
  </si>
  <si>
    <r>
      <rPr>
        <b val="true"/>
        <sz val="10"/>
        <color rgb="FF000000"/>
        <rFont val="Arial"/>
        <family val="2"/>
        <charset val="1"/>
      </rPr>
      <t xml:space="preserve">9/20/22,</t>
    </r>
    <r>
      <rPr>
        <sz val="10"/>
        <color rgb="FF000000"/>
        <rFont val="Arial"/>
        <family val="2"/>
        <charset val="1"/>
      </rPr>
      <t xml:space="preserve"> Jennie went out and reset the sensor because it was stuck at very high values for about a week. She found a spider web in the sensor. </t>
    </r>
    <r>
      <rPr>
        <b val="true"/>
        <sz val="10"/>
        <color rgb="FF000000"/>
        <rFont val="Arial"/>
        <family val="2"/>
        <charset val="1"/>
      </rPr>
      <t xml:space="preserve">9/26/22, </t>
    </r>
    <r>
      <rPr>
        <sz val="10"/>
        <color rgb="FF000000"/>
        <rFont val="Arial"/>
        <family val="2"/>
        <charset val="1"/>
      </rPr>
      <t xml:space="preserve">Jennie went back out to reset the sensor because Channel A data was missing. The reset did not work, so the plan is to replace the sensor.</t>
    </r>
  </si>
  <si>
    <t xml:space="preserve">Franklinton 1</t>
  </si>
  <si>
    <t xml:space="preserve">164 Hayden Ave, Columbus </t>
  </si>
  <si>
    <t xml:space="preserve">Jason Boylan</t>
  </si>
  <si>
    <t xml:space="preserve">boylanjasonc@gmail.com</t>
  </si>
  <si>
    <t xml:space="preserve">614-406-4371</t>
  </si>
  <si>
    <t xml:space="preserve">Grove City</t>
  </si>
  <si>
    <t xml:space="preserve">2650 London Groveport Rd </t>
  </si>
  <si>
    <t xml:space="preserve">Jackson Twshp Fire Department</t>
  </si>
  <si>
    <t xml:space="preserve">Todd Hurley</t>
  </si>
  <si>
    <t xml:space="preserve">thurley@grovecityohio.gov</t>
  </si>
  <si>
    <t xml:space="preserve">Removed on 3/11/2024.</t>
  </si>
  <si>
    <t xml:space="preserve">Blendon</t>
  </si>
  <si>
    <t xml:space="preserve">6330 S Hempstead Rd, Westerville </t>
  </si>
  <si>
    <t xml:space="preserve">Senior Center</t>
  </si>
  <si>
    <t xml:space="preserve">John Giamarco</t>
  </si>
  <si>
    <t xml:space="preserve">jgiamarco@blendontwp.org</t>
  </si>
  <si>
    <t xml:space="preserve">2879 Valleyview Drive </t>
  </si>
  <si>
    <t xml:space="preserve">Hilltop YMCA</t>
  </si>
  <si>
    <t xml:space="preserve">Theresa Whittington</t>
  </si>
  <si>
    <t xml:space="preserve">twhittington@ymcacolumbus.org</t>
  </si>
  <si>
    <r>
      <rPr>
        <b val="true"/>
        <sz val="10"/>
        <color rgb="FF000000"/>
        <rFont val="Arial"/>
        <family val="0"/>
        <charset val="1"/>
      </rPr>
      <t xml:space="preserve">5/19/22,</t>
    </r>
    <r>
      <rPr>
        <sz val="10"/>
        <color rgb="FF000000"/>
        <rFont val="Arial"/>
        <family val="0"/>
        <charset val="1"/>
      </rPr>
      <t xml:space="preserve"> sensor was moved from Hilltop Library and installed at Hilltop YMCA. </t>
    </r>
    <r>
      <rPr>
        <b val="true"/>
        <sz val="10"/>
        <color rgb="FF000000"/>
        <rFont val="Arial"/>
        <family val="0"/>
        <charset val="1"/>
      </rPr>
      <t xml:space="preserve">1/9/22, </t>
    </r>
    <r>
      <rPr>
        <sz val="10"/>
        <color rgb="FF000000"/>
        <rFont val="Arial"/>
        <family val="0"/>
        <charset val="1"/>
      </rPr>
      <t xml:space="preserve">sensor was moved to a different location on the roof of the YMCA and the sensor's cord was replaced because it was cut by someone and no longer worked. </t>
    </r>
    <r>
      <rPr>
        <b val="true"/>
        <sz val="10"/>
        <color rgb="FF000000"/>
        <rFont val="Arial"/>
        <family val="0"/>
        <charset val="1"/>
      </rPr>
      <t xml:space="preserve">8/25/2025,</t>
    </r>
    <r>
      <rPr>
        <sz val="10"/>
        <color rgb="FF000000"/>
        <rFont val="Arial"/>
        <family val="0"/>
        <charset val="1"/>
      </rPr>
      <t xml:space="preserve"> MORPC_038 was removed as it had been offline since 10/7/2024.</t>
    </r>
  </si>
  <si>
    <t xml:space="preserve">511 S Hague Ave </t>
  </si>
  <si>
    <r>
      <rPr>
        <b val="true"/>
        <sz val="10"/>
        <color rgb="FF000000"/>
        <rFont val="Arial"/>
        <family val="2"/>
        <charset val="1"/>
      </rPr>
      <t xml:space="preserve">4/13/22,</t>
    </r>
    <r>
      <rPr>
        <sz val="10"/>
        <color rgb="FF000000"/>
        <rFont val="Arial"/>
        <family val="2"/>
        <charset val="1"/>
      </rPr>
      <t xml:space="preserve"> After weekly air quality network check, the sensor was offline. Reached out to site host to see if the sensor was unplugged or if the WiFi was out. Site host said the sensor was unplugged and plugged it back in. Sensor is back online and transmitting data again. </t>
    </r>
    <r>
      <rPr>
        <b val="true"/>
        <sz val="10"/>
        <color rgb="FF000000"/>
        <rFont val="Arial"/>
        <family val="2"/>
        <charset val="1"/>
      </rPr>
      <t xml:space="preserve">4/26/22, </t>
    </r>
    <r>
      <rPr>
        <sz val="10"/>
        <color rgb="FF000000"/>
        <rFont val="Arial"/>
        <family val="2"/>
        <charset val="1"/>
      </rPr>
      <t xml:space="preserve">Sensor was unplugged again, so Anna &amp; Layla went out to take a look at the site and discuss moving the sensor to a better location. After talking with the maintenance manager, we were told that the outlet is often used to charge phones and this is most likely why the sensor kept being unplugged. We came to the decision that the best way to move forward would to be to relocate the sensor to another location in Hilltop, possibly the YMCA. </t>
    </r>
    <r>
      <rPr>
        <b val="true"/>
        <sz val="10"/>
        <color rgb="FF000000"/>
        <rFont val="Arial"/>
        <family val="2"/>
        <charset val="1"/>
      </rPr>
      <t xml:space="preserve">5/16/22,</t>
    </r>
    <r>
      <rPr>
        <sz val="10"/>
        <color rgb="FF000000"/>
        <rFont val="Arial"/>
        <family val="2"/>
        <charset val="1"/>
      </rPr>
      <t xml:space="preserve"> sensor was removed from library in preparation to be placed at Hilltop YMCA</t>
    </r>
  </si>
  <si>
    <t xml:space="preserve">3226 Kingston Ave, Grove City</t>
  </si>
  <si>
    <t xml:space="preserve">City Building (Parks &amp; Rec)</t>
  </si>
  <si>
    <t xml:space="preserve">614-277-1725</t>
  </si>
  <si>
    <r>
      <rPr>
        <b val="true"/>
        <sz val="10"/>
        <color rgb="FF000000"/>
        <rFont val="Arial"/>
        <family val="2"/>
        <charset val="1"/>
      </rPr>
      <t xml:space="preserve">8/9/22,</t>
    </r>
    <r>
      <rPr>
        <sz val="10"/>
        <color rgb="FF000000"/>
        <rFont val="Arial"/>
        <family val="2"/>
        <charset val="1"/>
      </rPr>
      <t xml:space="preserve"> sensor had been down for a month. Was working virtually with Grove City IT who tried resetting it a few times without luck of getting it back online. After asking purple air to archive the data and reset the sensor, it was still not broadcasting its network. We turned off the wifi network it was connected to, unplugged the sensor, re-plugged it in and waited about 10 mins before it started broadcasting its networks again. We connected it to my hotspot so it wouldn't automatically connect back to the previous wifi, turned the old wifi network back on and successfully connected it back to the wifi network it was connected to before. We also learned that where the sensor was mounted on the building, the wifi was blocked. We moved the sensor 5 feet to the left and everything worked perfectly.</t>
    </r>
  </si>
  <si>
    <t xml:space="preserve">Smoky Row/OH EPA sensoring site</t>
  </si>
  <si>
    <t xml:space="preserve">7560 Smoky Row Rd, Columbus </t>
  </si>
  <si>
    <t xml:space="preserve">EPA Regulatory Monitoring Site</t>
  </si>
  <si>
    <t xml:space="preserve">Austin Deschene</t>
  </si>
  <si>
    <t xml:space="preserve">austin.deschene@epa.ohio.gov</t>
  </si>
  <si>
    <t xml:space="preserve">614-644-3617</t>
  </si>
  <si>
    <t xml:space="preserve">Franklinton 2</t>
  </si>
  <si>
    <t xml:space="preserve">Franklinton Cycle Works</t>
  </si>
  <si>
    <t xml:space="preserve">Sensor is located on back of building above the awning out to the back door. It is screwed into the side of the cement block. A ladder is needed to access the sensor.</t>
  </si>
  <si>
    <t xml:space="preserve">Franklinton 4</t>
  </si>
  <si>
    <t xml:space="preserve">133 S Cypress Ave, Columbus</t>
  </si>
  <si>
    <t xml:space="preserve">Fawn Staten</t>
  </si>
  <si>
    <t xml:space="preserve">fdstaten@yahoo.com</t>
  </si>
  <si>
    <t xml:space="preserve">614-774-3980</t>
  </si>
  <si>
    <t xml:space="preserve">Installed on 2/24/2025</t>
  </si>
  <si>
    <t xml:space="preserve">1777 E Broad St, Columbus</t>
  </si>
  <si>
    <t xml:space="preserve">Chris McDonald</t>
  </si>
  <si>
    <t xml:space="preserve">cmcdonald@fpconservatory.org</t>
  </si>
  <si>
    <t xml:space="preserve">614-715-8141</t>
  </si>
  <si>
    <t xml:space="preserve">Sensor is located at the greenhouses next to the Wells Barn. The greenhouse is accessed by a locked gate. You will need a ladder to access the sensor. 7/8/25 - Ethan Hug connected us to new point of contact, Jim Butch, so we can access the sensor moving forward. New POC will be Chris McDonald and contact info updated</t>
  </si>
  <si>
    <t xml:space="preserve">711 Southwood Ave, Columbus</t>
  </si>
  <si>
    <t xml:space="preserve">IMPACT Community Action</t>
  </si>
  <si>
    <t xml:space="preserve">Katie Devlin &amp; Josh Kessler</t>
  </si>
  <si>
    <t xml:space="preserve">kdevlin@impactca.org &amp; jkessler@impactca.org </t>
  </si>
  <si>
    <t xml:space="preserve">614-371-1245</t>
  </si>
  <si>
    <t xml:space="preserve">Sensor is located on the roof of IMPACT attached to an onld antenna. Hotspot and power cord are fed through a small building that houses electrical/AC units. </t>
  </si>
  <si>
    <t xml:space="preserve">Driving Park</t>
  </si>
  <si>
    <t xml:space="preserve">1833 Kent Street, Columbus</t>
  </si>
  <si>
    <t xml:space="preserve">Rene Coats</t>
  </si>
  <si>
    <t xml:space="preserve">renecoats@aol.com</t>
  </si>
  <si>
    <t xml:space="preserve">614-270-9499</t>
  </si>
  <si>
    <t xml:space="preserve">Attached to Mr. John Coats' HAM radio tower facing Rhoads Avenue. Has a weak signal but is broadcasting. </t>
  </si>
  <si>
    <t xml:space="preserve">Scioto Grove</t>
  </si>
  <si>
    <t xml:space="preserve">5723 Paul Talbott Circle</t>
  </si>
  <si>
    <t xml:space="preserve">Judith Bartley</t>
  </si>
  <si>
    <t xml:space="preserve">bartleju@gmail.com</t>
  </si>
  <si>
    <t xml:space="preserve">859-652-4440</t>
  </si>
  <si>
    <t xml:space="preserve">Attached to the rear of the home on a gutter downspout, facing a very forested area of Scioto Grove Metro Park. </t>
  </si>
  <si>
    <t xml:space="preserve">Hilliard</t>
  </si>
  <si>
    <t xml:space="preserve">3515 Leap Road</t>
  </si>
  <si>
    <t xml:space="preserve">Kyle Benzle</t>
  </si>
  <si>
    <t xml:space="preserve">kbe@gmx.us</t>
  </si>
  <si>
    <t xml:space="preserve">614-505-9532</t>
  </si>
  <si>
    <t xml:space="preserve">Located on a small pole that houses a reciever for an automatic electric lawn mower. Faces Leap Road, which appeared to have a consistent flow of traffic.</t>
  </si>
  <si>
    <r>
      <rPr>
        <sz val="10"/>
        <color rgb="FF000000"/>
        <rFont val="Arial"/>
        <family val="0"/>
        <charset val="1"/>
      </rPr>
      <t xml:space="preserve">1295 Glenn Ave</t>
    </r>
    <r>
      <rPr>
        <sz val="8"/>
        <color rgb="FF000000"/>
        <rFont val="Arial"/>
        <family val="0"/>
        <charset val="1"/>
      </rPr>
      <t xml:space="preserve"> </t>
    </r>
  </si>
  <si>
    <t xml:space="preserve">614-688-1372</t>
  </si>
  <si>
    <t xml:space="preserve">Installed on 8/19/2024, replacing 031 at this same location. </t>
  </si>
  <si>
    <t xml:space="preserve">2255 Home Road, Grove City </t>
  </si>
  <si>
    <t xml:space="preserve">Gantz Farmhouse Park</t>
  </si>
  <si>
    <t xml:space="preserve">Todd Hurley </t>
  </si>
  <si>
    <t xml:space="preserve">614-668-6812</t>
  </si>
  <si>
    <t xml:space="preserve">Installed on 8/22/2024</t>
  </si>
  <si>
    <t xml:space="preserve">Knolls Thomas</t>
  </si>
  <si>
    <t xml:space="preserve">3625 Pegg Avenue, Columbus</t>
  </si>
  <si>
    <t xml:space="preserve">Dave Celebrezze</t>
  </si>
  <si>
    <t xml:space="preserve">david.celebrezze@westerville.org</t>
  </si>
  <si>
    <t xml:space="preserve">614-668-1530</t>
  </si>
  <si>
    <t xml:space="preserve">Installed 9/12/2024. Removed 9/16/2025 - sensor stopped working.</t>
  </si>
  <si>
    <t xml:space="preserve">North Linden</t>
  </si>
  <si>
    <t xml:space="preserve">1688 Melrose Ave</t>
  </si>
  <si>
    <t xml:space="preserve">Lucille Toth</t>
  </si>
  <si>
    <t xml:space="preserve">lucilletoth2@gmail.com</t>
  </si>
  <si>
    <t xml:space="preserve">614-974-3113</t>
  </si>
  <si>
    <t xml:space="preserve">Installed on 10/19/2024 moved to new address and updated on 5/30/2025</t>
  </si>
  <si>
    <t xml:space="preserve">Westerville</t>
  </si>
  <si>
    <t xml:space="preserve">96 Parkview Road</t>
  </si>
  <si>
    <t xml:space="preserve">Layla Abraham</t>
  </si>
  <si>
    <t xml:space="preserve">layla.abraham@epa.ohio.gov</t>
  </si>
  <si>
    <t xml:space="preserve">419-906-4023</t>
  </si>
  <si>
    <t xml:space="preserve">Installed 10/28/2024.  Removed 6/16/2025 - sensor malfunctioned</t>
  </si>
  <si>
    <t xml:space="preserve">Minerva Park</t>
  </si>
  <si>
    <t xml:space="preserve">2040 Fenton Street</t>
  </si>
  <si>
    <t xml:space="preserve">Devin Johnson</t>
  </si>
  <si>
    <t xml:space="preserve">djohnson@morpc.org</t>
  </si>
  <si>
    <t xml:space="preserve">614-233-4165</t>
  </si>
  <si>
    <t xml:space="preserve">Installed 11/15/2024</t>
  </si>
  <si>
    <t xml:space="preserve">Northwest</t>
  </si>
  <si>
    <t xml:space="preserve">2263 Lila Way</t>
  </si>
  <si>
    <t xml:space="preserve">Kelsey Matson</t>
  </si>
  <si>
    <t xml:space="preserve">kmatson@morpc.org</t>
  </si>
  <si>
    <t xml:space="preserve">614-233-4149</t>
  </si>
  <si>
    <t xml:space="preserve">Westland</t>
  </si>
  <si>
    <t xml:space="preserve">5328 Cherry Bud Ct</t>
  </si>
  <si>
    <t xml:space="preserve">Madison Sheiderer</t>
  </si>
  <si>
    <t xml:space="preserve">msheiderer@morpc.org</t>
  </si>
  <si>
    <t xml:space="preserve">614-233-4161</t>
  </si>
  <si>
    <t xml:space="preserve">No </t>
  </si>
  <si>
    <t xml:space="preserve">Installed 9/16/2025</t>
  </si>
  <si>
    <t xml:space="preserve">Gahanna</t>
  </si>
  <si>
    <t xml:space="preserve">3492 Stokey Ct</t>
  </si>
  <si>
    <t xml:space="preserve">Kristen Muenster</t>
  </si>
  <si>
    <t xml:space="preserve">kmuenster@ncusolutions.com</t>
  </si>
  <si>
    <t xml:space="preserve">440-668-7148</t>
  </si>
  <si>
    <t xml:space="preserve">Installed 11/19/2024</t>
  </si>
  <si>
    <t xml:space="preserve">Salem Village</t>
  </si>
  <si>
    <t xml:space="preserve">5556 N Meadows Blvd</t>
  </si>
  <si>
    <t xml:space="preserve">Holly Rast</t>
  </si>
  <si>
    <t xml:space="preserve">hollyrast@franklincountyohio.gov</t>
  </si>
  <si>
    <t xml:space="preserve">614-218-9095</t>
  </si>
  <si>
    <t xml:space="preserve">Installed 11/22/2024</t>
  </si>
  <si>
    <t xml:space="preserve">German Village</t>
  </si>
  <si>
    <t xml:space="preserve">122 E Whitter Street</t>
  </si>
  <si>
    <t xml:space="preserve">Alli Mancz</t>
  </si>
  <si>
    <t xml:space="preserve">amancz@morpc.org</t>
  </si>
  <si>
    <t xml:space="preserve">614-233-4164</t>
  </si>
  <si>
    <t xml:space="preserve">OSU West Campus</t>
  </si>
  <si>
    <t xml:space="preserve">2255 Kenny Rd</t>
  </si>
  <si>
    <t xml:space="preserve">Academic building</t>
  </si>
  <si>
    <t xml:space="preserve">John Hanna</t>
  </si>
  <si>
    <t xml:space="preserve">hanna.94@osu.edu</t>
  </si>
  <si>
    <t xml:space="preserve">614-937-6485 </t>
  </si>
  <si>
    <t xml:space="preserve">Installed 2/28/2025</t>
  </si>
  <si>
    <t xml:space="preserve">180 W Kenworth Road</t>
  </si>
  <si>
    <t xml:space="preserve">Maria Paula Navia</t>
  </si>
  <si>
    <t xml:space="preserve">waco.org</t>
  </si>
  <si>
    <t xml:space="preserve">415-603-9935</t>
  </si>
  <si>
    <t xml:space="preserve">Installed 11/25/2024</t>
  </si>
  <si>
    <t xml:space="preserve">Necko</t>
  </si>
  <si>
    <t xml:space="preserve">421 W 8th Ave</t>
  </si>
  <si>
    <t xml:space="preserve">William Murdock</t>
  </si>
  <si>
    <t xml:space="preserve">wmurdock@morpc.org</t>
  </si>
  <si>
    <t xml:space="preserve">614-233-4101</t>
  </si>
  <si>
    <t xml:space="preserve">Brittany Hills</t>
  </si>
  <si>
    <t xml:space="preserve">2608 Lilypark Drive</t>
  </si>
  <si>
    <t xml:space="preserve">John Esterly</t>
  </si>
  <si>
    <t xml:space="preserve">john.s.esterly@gmail.com</t>
  </si>
  <si>
    <t xml:space="preserve">614-284-5876</t>
  </si>
  <si>
    <t xml:space="preserve">Northland 1</t>
  </si>
  <si>
    <t xml:space="preserve">2701 Alder Vista Drive</t>
  </si>
  <si>
    <t xml:space="preserve">Brandi Whetstone</t>
  </si>
  <si>
    <t xml:space="preserve">bwhetstone@morpc.org</t>
  </si>
  <si>
    <t xml:space="preserve">614-595-8631</t>
  </si>
  <si>
    <t xml:space="preserve">Sharon </t>
  </si>
  <si>
    <t xml:space="preserve">382 Westview Ave.</t>
  </si>
  <si>
    <t xml:space="preserve">Ellie Nowels</t>
  </si>
  <si>
    <t xml:space="preserve">ellienowels@gmail.com</t>
  </si>
  <si>
    <t xml:space="preserve">614-395-2196</t>
  </si>
  <si>
    <t xml:space="preserve">Installed 11/26/2024</t>
  </si>
  <si>
    <t xml:space="preserve">Eastmoor</t>
  </si>
  <si>
    <t xml:space="preserve">81 S Kellner Road</t>
  </si>
  <si>
    <t xml:space="preserve">Katie Devlin</t>
  </si>
  <si>
    <t xml:space="preserve">kdevlin@impactca.org</t>
  </si>
  <si>
    <t xml:space="preserve">Installed on 12/3/2024</t>
  </si>
  <si>
    <t xml:space="preserve">South Eastmoor</t>
  </si>
  <si>
    <t xml:space="preserve">Rachael Beeman</t>
  </si>
  <si>
    <t xml:space="preserve">rachaeln.be@gmail.com</t>
  </si>
  <si>
    <t xml:space="preserve">740-507-8415</t>
  </si>
  <si>
    <t xml:space="preserve">Installed on 12/13/2024</t>
  </si>
  <si>
    <t xml:space="preserve">Prairie Township</t>
  </si>
  <si>
    <t xml:space="preserve">Fire department 243</t>
  </si>
  <si>
    <t xml:space="preserve">James Jewell</t>
  </si>
  <si>
    <t xml:space="preserve">jjewell@prairietownship.org</t>
  </si>
  <si>
    <t xml:space="preserve">614-580-5461</t>
  </si>
  <si>
    <t xml:space="preserve">Installed on 12/17/2024</t>
  </si>
  <si>
    <t xml:space="preserve">Near East Side</t>
  </si>
  <si>
    <t xml:space="preserve">48 N 22nd Street</t>
  </si>
  <si>
    <t xml:space="preserve">Mack Parks</t>
  </si>
  <si>
    <t xml:space="preserve">mack.parks@gmail.com</t>
  </si>
  <si>
    <t xml:space="preserve">513-253-9496</t>
  </si>
  <si>
    <t xml:space="preserve">Installed on 12/19/2024</t>
  </si>
  <si>
    <t xml:space="preserve">CMH Airport</t>
  </si>
  <si>
    <t xml:space="preserve">40.005206, -82.899478</t>
  </si>
  <si>
    <t xml:space="preserve">Airport</t>
  </si>
  <si>
    <t xml:space="preserve">Paul Kennedy</t>
  </si>
  <si>
    <t xml:space="preserve">pkennedy@columbusairports.com</t>
  </si>
  <si>
    <t xml:space="preserve">614-239-3347</t>
  </si>
  <si>
    <t xml:space="preserve">Installed 1/16/2025</t>
  </si>
  <si>
    <t xml:space="preserve">Northland 2</t>
  </si>
  <si>
    <t xml:space="preserve">2843 Blendon Woods Blvd</t>
  </si>
  <si>
    <t xml:space="preserve">David Roseman</t>
  </si>
  <si>
    <t xml:space="preserve">djroseman@msn.com</t>
  </si>
  <si>
    <t xml:space="preserve">614-890-7410</t>
  </si>
  <si>
    <t xml:space="preserve">Installed on 1/16/2025</t>
  </si>
  <si>
    <t xml:space="preserve">South Side</t>
  </si>
  <si>
    <t xml:space="preserve">1865 Nason Ave</t>
  </si>
  <si>
    <t xml:space="preserve">Joann McWhorter</t>
  </si>
  <si>
    <t xml:space="preserve">1865jmc@gmail.com</t>
  </si>
  <si>
    <t xml:space="preserve">614-558-3332</t>
  </si>
  <si>
    <t xml:space="preserve">Installed 2/21/2025</t>
  </si>
  <si>
    <t xml:space="preserve">Westgate</t>
  </si>
  <si>
    <t xml:space="preserve">208 Demorest Road</t>
  </si>
  <si>
    <t xml:space="preserve">Steve Coss</t>
  </si>
  <si>
    <t xml:space="preserve">coss.31@osu.edu</t>
  </si>
  <si>
    <t xml:space="preserve">Installed 1/24/2025</t>
  </si>
  <si>
    <t xml:space="preserve">2050 S High Street </t>
  </si>
  <si>
    <t xml:space="preserve">Business</t>
  </si>
  <si>
    <t xml:space="preserve">Allegra Angelini</t>
  </si>
  <si>
    <t xml:space="preserve">allegra@thefortinc.com</t>
  </si>
  <si>
    <t xml:space="preserve">614-397-9428</t>
  </si>
  <si>
    <t xml:space="preserve">Installed 1/30/2025</t>
  </si>
  <si>
    <t xml:space="preserve">106 S Wheatland Ave</t>
  </si>
  <si>
    <t xml:space="preserve">Paul Kemmer</t>
  </si>
  <si>
    <t xml:space="preserve">paul@highlandyouthgarden.org</t>
  </si>
  <si>
    <t xml:space="preserve">614-653-8263</t>
  </si>
  <si>
    <t xml:space="preserve">Installed 2/3/2025</t>
  </si>
  <si>
    <t xml:space="preserve">Steelton</t>
  </si>
  <si>
    <t xml:space="preserve">474 Hosack Street</t>
  </si>
  <si>
    <t xml:space="preserve">Johnny Davis</t>
  </si>
  <si>
    <t xml:space="preserve">jdpolarbear@gmail.com</t>
  </si>
  <si>
    <t xml:space="preserve">614-496-8075</t>
  </si>
  <si>
    <t xml:space="preserve">Galloway</t>
  </si>
  <si>
    <t xml:space="preserve">6725 Alkire Road</t>
  </si>
  <si>
    <t xml:space="preserve">City building (Road Department)</t>
  </si>
  <si>
    <t xml:space="preserve">Installed 2/18/2025</t>
  </si>
  <si>
    <t xml:space="preserve">Franklinton 3</t>
  </si>
  <si>
    <t xml:space="preserve">974 Sullivant Ave</t>
  </si>
  <si>
    <t xml:space="preserve">Community garden</t>
  </si>
  <si>
    <t xml:space="preserve">Nick Stanich</t>
  </si>
  <si>
    <t xml:space="preserve">nick.stanich@franklintonfarms.org</t>
  </si>
  <si>
    <t xml:space="preserve">614-562-4804</t>
  </si>
  <si>
    <t xml:space="preserve">Installed 2/28/2025. Gate code is 2525 if you need access to sensor.</t>
  </si>
  <si>
    <t xml:space="preserve">5028 Gilwood Drive, Hilliard</t>
  </si>
  <si>
    <t xml:space="preserve">Justin Burke</t>
  </si>
  <si>
    <t xml:space="preserve">1jppburke@gmail.com</t>
  </si>
  <si>
    <t xml:space="preserve">440-623-6100</t>
  </si>
  <si>
    <t xml:space="preserve">Installed 3/28/2025</t>
  </si>
  <si>
    <t xml:space="preserve">756 Thomas Ave.</t>
  </si>
  <si>
    <t xml:space="preserve">Neil Finnegan</t>
  </si>
  <si>
    <t xml:space="preserve">columbus_southpaw@yahoo.com</t>
  </si>
  <si>
    <t xml:space="preserve">614-886-7999 </t>
  </si>
  <si>
    <t xml:space="preserve">Installed 4/18/2025</t>
  </si>
  <si>
    <t xml:space="preserve">874 E Cooke Road</t>
  </si>
  <si>
    <t xml:space="preserve">Tiffany Hanna</t>
  </si>
  <si>
    <t xml:space="preserve">hankem1@live.com</t>
  </si>
  <si>
    <t xml:space="preserve">614-204-2285</t>
  </si>
  <si>
    <t xml:space="preserve">Installed 6/16/2025</t>
  </si>
  <si>
    <t xml:space="preserve">2820 Azelda Street</t>
  </si>
  <si>
    <t xml:space="preserve">Nickie Millington </t>
  </si>
  <si>
    <t xml:space="preserve">nickiemillington@gmail.com</t>
  </si>
  <si>
    <t xml:space="preserve">875 Minerva Ave</t>
  </si>
  <si>
    <t xml:space="preserve">Gigi Millington</t>
  </si>
  <si>
    <t xml:space="preserve">ggluvsfla@gmail.com</t>
  </si>
  <si>
    <t xml:space="preserve">96 Parkview Ave</t>
  </si>
  <si>
    <t xml:space="preserve">laylaabraham@franklincountyohio.gov</t>
  </si>
  <si>
    <t xml:space="preserve">Installed 6/20/2025</t>
  </si>
  <si>
    <t xml:space="preserve">220 Olde Ridendour Rd</t>
  </si>
  <si>
    <t xml:space="preserve">City golf course</t>
  </si>
  <si>
    <t xml:space="preserve">Kelsey Bartholomew</t>
  </si>
  <si>
    <t xml:space="preserve">kelsey.bartholomew@gahanna.gov</t>
  </si>
  <si>
    <t xml:space="preserve">614-342-4016</t>
  </si>
  <si>
    <t xml:space="preserve">Installed 7/7/2025</t>
  </si>
  <si>
    <t xml:space="preserve">Brewery District</t>
  </si>
  <si>
    <t xml:space="preserve">111 Liberty Street, Suite 100</t>
  </si>
  <si>
    <t xml:space="preserve">JR Diaz-Hernandez</t>
  </si>
  <si>
    <t xml:space="preserve">mdiazhernandez@morpc.org</t>
  </si>
  <si>
    <t xml:space="preserve">469-336-0094</t>
  </si>
  <si>
    <t xml:space="preserve">Installed 8/7/2025; will be up temporarily to help collocate SimpleAQ sensors from OSU</t>
  </si>
  <si>
    <t xml:space="preserve">Bad </t>
  </si>
  <si>
    <t xml:space="preserve">Maybe </t>
  </si>
  <si>
    <t xml:space="preserve">Good </t>
  </si>
  <si>
    <t xml:space="preserve">Sensor ID Deployment</t>
  </si>
  <si>
    <t xml:space="preserve">Deployment Type (C/D)</t>
  </si>
  <si>
    <t xml:space="preserve">Sensor_Index_ID</t>
  </si>
  <si>
    <t xml:space="preserve">Additional Address information</t>
  </si>
  <si>
    <t xml:space="preserve">Location Name</t>
  </si>
  <si>
    <t xml:space="preserve">LAT</t>
  </si>
  <si>
    <t xml:space="preserve">LON</t>
  </si>
  <si>
    <t xml:space="preserve">Deployment_Start</t>
  </si>
  <si>
    <t xml:space="preserve">Deployment_End</t>
  </si>
  <si>
    <t xml:space="preserve">[MATCH ADDRESS IN "INSTALLED SENSORS"]</t>
  </si>
  <si>
    <t xml:space="preserve">[UNIQUE FOR EACH ADDRESS]</t>
  </si>
  <si>
    <t xml:space="preserve">[automatic]</t>
  </si>
  <si>
    <t xml:space="preserve">MORPC_003_01</t>
  </si>
  <si>
    <t xml:space="preserve">D</t>
  </si>
  <si>
    <t xml:space="preserve">Franklin Park Conservatory - dot on map is 2 blocks south</t>
  </si>
  <si>
    <t xml:space="preserve">Franklin Park Conservatory </t>
  </si>
  <si>
    <t xml:space="preserve">MORPC_006_00</t>
  </si>
  <si>
    <t xml:space="preserve">C</t>
  </si>
  <si>
    <t xml:space="preserve">7560 Smoky Row Rd</t>
  </si>
  <si>
    <t xml:space="preserve">OH EPA Monitoring Site</t>
  </si>
  <si>
    <t xml:space="preserve">Collocation_1_6</t>
  </si>
  <si>
    <t xml:space="preserve">MORPC_006_01</t>
  </si>
  <si>
    <t xml:space="preserve">441 Nashoba Ave </t>
  </si>
  <si>
    <t xml:space="preserve">Nashoba Avenue</t>
  </si>
  <si>
    <t xml:space="preserve">MORPC_007_00</t>
  </si>
  <si>
    <t xml:space="preserve">Collocation_2_7</t>
  </si>
  <si>
    <t xml:space="preserve">MORPC_007_01</t>
  </si>
  <si>
    <t xml:space="preserve">850 N Nelson Rd Columbus</t>
  </si>
  <si>
    <t xml:space="preserve">Shepard Library</t>
  </si>
  <si>
    <t xml:space="preserve">MORPC_009_00</t>
  </si>
  <si>
    <t xml:space="preserve">Collocation_2_9</t>
  </si>
  <si>
    <t xml:space="preserve">MORPC_010_00</t>
  </si>
  <si>
    <t xml:space="preserve">Collocation_1_10</t>
  </si>
  <si>
    <t xml:space="preserve">MORPC_012_00</t>
  </si>
  <si>
    <t xml:space="preserve">Collocation_1_12</t>
  </si>
  <si>
    <t xml:space="preserve">MORPC_012_01</t>
  </si>
  <si>
    <t xml:space="preserve">Local Catering Business</t>
  </si>
  <si>
    <t xml:space="preserve">Chesapeake</t>
  </si>
  <si>
    <t xml:space="preserve">MORPC_014_00</t>
  </si>
  <si>
    <t xml:space="preserve">Collocation_1_14</t>
  </si>
  <si>
    <t xml:space="preserve">MORPC_014_01</t>
  </si>
  <si>
    <t xml:space="preserve">Linden 1</t>
  </si>
  <si>
    <t xml:space="preserve">MORPC_015_00</t>
  </si>
  <si>
    <t xml:space="preserve">Collocation_2_15</t>
  </si>
  <si>
    <t xml:space="preserve">MORPC_016_00</t>
  </si>
  <si>
    <t xml:space="preserve">Collocation_2_16</t>
  </si>
  <si>
    <t xml:space="preserve">MORPC_017_00</t>
  </si>
  <si>
    <t xml:space="preserve">Collocation_2_17</t>
  </si>
  <si>
    <t xml:space="preserve">MORPC_017_01</t>
  </si>
  <si>
    <t xml:space="preserve">Far South 1</t>
  </si>
  <si>
    <t xml:space="preserve">MORPC_018_00</t>
  </si>
  <si>
    <t xml:space="preserve">Collocation_1_18</t>
  </si>
  <si>
    <t xml:space="preserve">MORPC_020_00</t>
  </si>
  <si>
    <t xml:space="preserve">Collocation_2_20</t>
  </si>
  <si>
    <t xml:space="preserve">MORPC_021_00</t>
  </si>
  <si>
    <t xml:space="preserve">Collocation_3_21</t>
  </si>
  <si>
    <t xml:space="preserve">MORPC_022_00</t>
  </si>
  <si>
    <t xml:space="preserve">Collocation_3_22</t>
  </si>
  <si>
    <t xml:space="preserve">MORPC_022_01</t>
  </si>
  <si>
    <t xml:space="preserve">MORPC_022_02</t>
  </si>
  <si>
    <t xml:space="preserve">4445 E Broad St (Library)</t>
  </si>
  <si>
    <t xml:space="preserve">Whitehall Library</t>
  </si>
  <si>
    <t xml:space="preserve">MORPC_023_00</t>
  </si>
  <si>
    <t xml:space="preserve">Collocation_3_23</t>
  </si>
  <si>
    <t xml:space="preserve">MORPC_023_01</t>
  </si>
  <si>
    <t xml:space="preserve">COTA</t>
  </si>
  <si>
    <t xml:space="preserve">Clintonville 2</t>
  </si>
  <si>
    <t xml:space="preserve">MORPC_024_00</t>
  </si>
  <si>
    <t xml:space="preserve">Collocation_3_24</t>
  </si>
  <si>
    <t xml:space="preserve">MORPC_024_01</t>
  </si>
  <si>
    <t xml:space="preserve">MORPC_025_00</t>
  </si>
  <si>
    <t xml:space="preserve">Collocation_3_25</t>
  </si>
  <si>
    <t xml:space="preserve">MORPC_025_01</t>
  </si>
  <si>
    <t xml:space="preserve">3540 S High St </t>
  </si>
  <si>
    <t xml:space="preserve">Far South 2</t>
  </si>
  <si>
    <t xml:space="preserve">MORPC_026_00</t>
  </si>
  <si>
    <t xml:space="preserve">Collocation_3_26</t>
  </si>
  <si>
    <t xml:space="preserve">MORPC_026_01</t>
  </si>
  <si>
    <t xml:space="preserve">Linden 2</t>
  </si>
  <si>
    <t xml:space="preserve">MORPC_027_00</t>
  </si>
  <si>
    <t xml:space="preserve">Collocation_5_27</t>
  </si>
  <si>
    <t xml:space="preserve">MORPC_027_01</t>
  </si>
  <si>
    <t xml:space="preserve">2242 E Main St</t>
  </si>
  <si>
    <t xml:space="preserve">Bexley City Hall</t>
  </si>
  <si>
    <t xml:space="preserve">MORPC_028_00</t>
  </si>
  <si>
    <t xml:space="preserve">Collocation_5_28</t>
  </si>
  <si>
    <t xml:space="preserve">MORPC_028_01</t>
  </si>
  <si>
    <t xml:space="preserve">MORPC_029_00</t>
  </si>
  <si>
    <t xml:space="preserve">Collocation_4_29</t>
  </si>
  <si>
    <t xml:space="preserve">MORPC_029_01</t>
  </si>
  <si>
    <t xml:space="preserve">K-8 School</t>
  </si>
  <si>
    <t xml:space="preserve">Indianola Informal</t>
  </si>
  <si>
    <t xml:space="preserve">MORPC_030_00</t>
  </si>
  <si>
    <t xml:space="preserve">Collocation_4_30</t>
  </si>
  <si>
    <t xml:space="preserve">MORPC_030_01</t>
  </si>
  <si>
    <t xml:space="preserve">333 W Broad S</t>
  </si>
  <si>
    <t xml:space="preserve">MORPC_031_00</t>
  </si>
  <si>
    <t xml:space="preserve">Collocation_4_31</t>
  </si>
  <si>
    <t xml:space="preserve">MORPC_031_01</t>
  </si>
  <si>
    <t xml:space="preserve">1295 Glenn Ave </t>
  </si>
  <si>
    <t xml:space="preserve">MORPC_032_00</t>
  </si>
  <si>
    <t xml:space="preserve">Collocation_4_32</t>
  </si>
  <si>
    <t xml:space="preserve">MORPC_032_01</t>
  </si>
  <si>
    <t xml:space="preserve">MORPC_032_02</t>
  </si>
  <si>
    <t xml:space="preserve">251 E Weber Rd </t>
  </si>
  <si>
    <t xml:space="preserve">MORPC_033_00</t>
  </si>
  <si>
    <t xml:space="preserve">Collocation_5_33</t>
  </si>
  <si>
    <t xml:space="preserve">MORPC_033_01</t>
  </si>
  <si>
    <t xml:space="preserve">Local Business</t>
  </si>
  <si>
    <t xml:space="preserve">MORPC_034_00</t>
  </si>
  <si>
    <t xml:space="preserve">Collocation_5_34</t>
  </si>
  <si>
    <t xml:space="preserve">MORPC_034_01</t>
  </si>
  <si>
    <t xml:space="preserve">MORPC_035_00</t>
  </si>
  <si>
    <t xml:space="preserve">Collocation_4_35</t>
  </si>
  <si>
    <t xml:space="preserve">MORPC_035_01</t>
  </si>
  <si>
    <t xml:space="preserve">MORPC_036_00</t>
  </si>
  <si>
    <t xml:space="preserve">Collocation_5_36</t>
  </si>
  <si>
    <t xml:space="preserve">MORPC_036_01</t>
  </si>
  <si>
    <t xml:space="preserve">Fire Department</t>
  </si>
  <si>
    <t xml:space="preserve">Jackson Twnshp Fire Dept</t>
  </si>
  <si>
    <t xml:space="preserve">MORPC_037_00</t>
  </si>
  <si>
    <t xml:space="preserve">Collocation_5_37</t>
  </si>
  <si>
    <t xml:space="preserve">MORPC_037_01</t>
  </si>
  <si>
    <t xml:space="preserve">Township Building</t>
  </si>
  <si>
    <t xml:space="preserve">Blendon Senior Center</t>
  </si>
  <si>
    <t xml:space="preserve">MORPC_038_00</t>
  </si>
  <si>
    <t xml:space="preserve">Collocation_4_38</t>
  </si>
  <si>
    <t xml:space="preserve">MORPC_038_01</t>
  </si>
  <si>
    <t xml:space="preserve">Hilltop Library</t>
  </si>
  <si>
    <t xml:space="preserve">MORPC_038_02</t>
  </si>
  <si>
    <t xml:space="preserve">YMCA</t>
  </si>
  <si>
    <t xml:space="preserve">MORPC_039_01</t>
  </si>
  <si>
    <t xml:space="preserve">3226 Kingston Ave </t>
  </si>
  <si>
    <t xml:space="preserve">City Building</t>
  </si>
  <si>
    <t xml:space="preserve">Kingston Center</t>
  </si>
  <si>
    <t xml:space="preserve">MORPC_039_02</t>
  </si>
  <si>
    <t xml:space="preserve">3227 Kingston Ave </t>
  </si>
  <si>
    <t xml:space="preserve">MORPC_040_00</t>
  </si>
  <si>
    <t xml:space="preserve">Smoky Row (MORPC)</t>
  </si>
  <si>
    <t xml:space="preserve">MORPC_050_00</t>
  </si>
  <si>
    <t xml:space="preserve">Collocation_6_50</t>
  </si>
  <si>
    <t xml:space="preserve">MORPC_050_01</t>
  </si>
  <si>
    <t xml:space="preserve">MORPC_051_00</t>
  </si>
  <si>
    <t xml:space="preserve">Collocation_6_51</t>
  </si>
  <si>
    <t xml:space="preserve">MORPC_051_01</t>
  </si>
  <si>
    <t xml:space="preserve">Franklin Park Conservatory @ The Greenhouse</t>
  </si>
  <si>
    <t xml:space="preserve">MORPC_051_02</t>
  </si>
  <si>
    <t xml:space="preserve">133 S Cypress Ave</t>
  </si>
  <si>
    <t xml:space="preserve">MORPC_052_00</t>
  </si>
  <si>
    <t xml:space="preserve">Collocation_6_52</t>
  </si>
  <si>
    <t xml:space="preserve">MORPC_052_01</t>
  </si>
  <si>
    <t xml:space="preserve">MORPC_053_00</t>
  </si>
  <si>
    <t xml:space="preserve">Collocation_6_53</t>
  </si>
  <si>
    <t xml:space="preserve">MORPC_053_01</t>
  </si>
  <si>
    <t xml:space="preserve">IMPACT</t>
  </si>
  <si>
    <t xml:space="preserve">MORPC_054_00</t>
  </si>
  <si>
    <t xml:space="preserve">Collocation_6_54</t>
  </si>
  <si>
    <t xml:space="preserve">MORPC_054_01</t>
  </si>
  <si>
    <t xml:space="preserve">1833 Kent Street</t>
  </si>
  <si>
    <t xml:space="preserve">Driving Park 1</t>
  </si>
  <si>
    <t xml:space="preserve">MORPC_055_00</t>
  </si>
  <si>
    <t xml:space="preserve">Collocation_6_55</t>
  </si>
  <si>
    <t xml:space="preserve">MORPC_055_01</t>
  </si>
  <si>
    <t xml:space="preserve">MORPC_060_00</t>
  </si>
  <si>
    <t xml:space="preserve">Collocation_7_60</t>
  </si>
  <si>
    <t xml:space="preserve">MORPC_060_01</t>
  </si>
  <si>
    <t xml:space="preserve">3515 Leap Rd</t>
  </si>
  <si>
    <t xml:space="preserve">MORPC_061_00</t>
  </si>
  <si>
    <t xml:space="preserve">Collocation_7_61</t>
  </si>
  <si>
    <t xml:space="preserve">MORPC_061_01</t>
  </si>
  <si>
    <t xml:space="preserve">1295 Glenn Ave</t>
  </si>
  <si>
    <t xml:space="preserve">Grandview</t>
  </si>
  <si>
    <t xml:space="preserve">MORPC_062_00</t>
  </si>
  <si>
    <t xml:space="preserve">Collocation_7_62</t>
  </si>
  <si>
    <t xml:space="preserve">MORPC_062_01</t>
  </si>
  <si>
    <t xml:space="preserve">2255 Home Road</t>
  </si>
  <si>
    <t xml:space="preserve">Gantz Homestead Park</t>
  </si>
  <si>
    <t xml:space="preserve">Gantz Homestead</t>
  </si>
  <si>
    <t xml:space="preserve">MORPC_063_00</t>
  </si>
  <si>
    <t xml:space="preserve">Collocation_7_63</t>
  </si>
  <si>
    <t xml:space="preserve">MORPC_063_01</t>
  </si>
  <si>
    <t xml:space="preserve">3625 Pegg Avenue</t>
  </si>
  <si>
    <t xml:space="preserve">MORPC_064_00</t>
  </si>
  <si>
    <t xml:space="preserve">Collocation_7_64</t>
  </si>
  <si>
    <t xml:space="preserve">MORPC_064_01</t>
  </si>
  <si>
    <t xml:space="preserve">1705 Milford Ave</t>
  </si>
  <si>
    <t xml:space="preserve">North Linden_01</t>
  </si>
  <si>
    <t xml:space="preserve">MORPC_064_02</t>
  </si>
  <si>
    <t xml:space="preserve">Private residence</t>
  </si>
  <si>
    <t xml:space="preserve">North Linden_02</t>
  </si>
  <si>
    <t xml:space="preserve">MORPC_065_00</t>
  </si>
  <si>
    <t xml:space="preserve">Collocation_7_65</t>
  </si>
  <si>
    <t xml:space="preserve">MORPC_065_01</t>
  </si>
  <si>
    <t xml:space="preserve">MORPC_066_00</t>
  </si>
  <si>
    <t xml:space="preserve">Collocation_7_66</t>
  </si>
  <si>
    <t xml:space="preserve">MORPC_066_01</t>
  </si>
  <si>
    <t xml:space="preserve">MORPC_067_00</t>
  </si>
  <si>
    <t xml:space="preserve">Collocation_7_67</t>
  </si>
  <si>
    <t xml:space="preserve">MORPC_067_01</t>
  </si>
  <si>
    <t xml:space="preserve">MORPC_068_00</t>
  </si>
  <si>
    <t xml:space="preserve">Collocation_7_68</t>
  </si>
  <si>
    <t xml:space="preserve">MORPC_068_01</t>
  </si>
  <si>
    <t xml:space="preserve">5328 Cherry Bud Court</t>
  </si>
  <si>
    <t xml:space="preserve">MORPC_068_02</t>
  </si>
  <si>
    <t xml:space="preserve">MORPC_069_00</t>
  </si>
  <si>
    <t xml:space="preserve">Collocation_7_69</t>
  </si>
  <si>
    <t xml:space="preserve">MORPC_069_01</t>
  </si>
  <si>
    <t xml:space="preserve">Gahanna_1</t>
  </si>
  <si>
    <t xml:space="preserve">MORPC_070_00</t>
  </si>
  <si>
    <t xml:space="preserve">Collocation_8_70</t>
  </si>
  <si>
    <t xml:space="preserve">MORPC_070_01</t>
  </si>
  <si>
    <t xml:space="preserve">MORPC_071_00</t>
  </si>
  <si>
    <t xml:space="preserve">Collocation_8_71</t>
  </si>
  <si>
    <t xml:space="preserve">MORPC_071_01</t>
  </si>
  <si>
    <t xml:space="preserve">122 E Whittier Street</t>
  </si>
  <si>
    <t xml:space="preserve">MORPC_072_00</t>
  </si>
  <si>
    <t xml:space="preserve">Collocation_8_72</t>
  </si>
  <si>
    <t xml:space="preserve">MORPC_072_01</t>
  </si>
  <si>
    <t xml:space="preserve">Pelotonia Research Center</t>
  </si>
  <si>
    <t xml:space="preserve">MORPC_073_00</t>
  </si>
  <si>
    <t xml:space="preserve">Collocation_8_73</t>
  </si>
  <si>
    <t xml:space="preserve">MORPC_073_01</t>
  </si>
  <si>
    <t xml:space="preserve">MORPC_074_00</t>
  </si>
  <si>
    <t xml:space="preserve">Collocation_8_74</t>
  </si>
  <si>
    <t xml:space="preserve">MORPC_074_01</t>
  </si>
  <si>
    <t xml:space="preserve">MORPC_075_00</t>
  </si>
  <si>
    <t xml:space="preserve">Collocation_8_75</t>
  </si>
  <si>
    <t xml:space="preserve">MORPC_075_01</t>
  </si>
  <si>
    <t xml:space="preserve">MORPC_076_00</t>
  </si>
  <si>
    <t xml:space="preserve">Collocation_8_76</t>
  </si>
  <si>
    <t xml:space="preserve">MORPC_076_01</t>
  </si>
  <si>
    <t xml:space="preserve">Northland</t>
  </si>
  <si>
    <t xml:space="preserve">MORPC_077_00</t>
  </si>
  <si>
    <t xml:space="preserve">Collocation_8_77</t>
  </si>
  <si>
    <t xml:space="preserve">MORPC_077_01</t>
  </si>
  <si>
    <t xml:space="preserve">Sharon</t>
  </si>
  <si>
    <t xml:space="preserve">MORPC_078_00</t>
  </si>
  <si>
    <t xml:space="preserve">Collocation_8_78</t>
  </si>
  <si>
    <t xml:space="preserve">MORPC_078_01</t>
  </si>
  <si>
    <t xml:space="preserve">MORPC_079_00</t>
  </si>
  <si>
    <t xml:space="preserve">Collocation_8_79</t>
  </si>
  <si>
    <t xml:space="preserve">MORPC_079_01</t>
  </si>
  <si>
    <t xml:space="preserve">MORPC_080_00</t>
  </si>
  <si>
    <t xml:space="preserve">Collocation_9_80</t>
  </si>
  <si>
    <t xml:space="preserve">MORPC_080_01</t>
  </si>
  <si>
    <t xml:space="preserve">Fire department </t>
  </si>
  <si>
    <t xml:space="preserve">MORPC_081_00</t>
  </si>
  <si>
    <t xml:space="preserve">Collocation_9_81</t>
  </si>
  <si>
    <t xml:space="preserve">MORPC_081_01</t>
  </si>
  <si>
    <t xml:space="preserve">MORPC_082_00</t>
  </si>
  <si>
    <t xml:space="preserve">Collocation_9_82</t>
  </si>
  <si>
    <t xml:space="preserve">MORPC_082_01</t>
  </si>
  <si>
    <t xml:space="preserve">MORPC_082_02</t>
  </si>
  <si>
    <t xml:space="preserve">40.00547737, -82.899577180609</t>
  </si>
  <si>
    <t xml:space="preserve">CMH Airport_2</t>
  </si>
  <si>
    <t xml:space="preserve">MORPC_083_00</t>
  </si>
  <si>
    <t xml:space="preserve">Collocation_9_83</t>
  </si>
  <si>
    <t xml:space="preserve">MORPC_083_01</t>
  </si>
  <si>
    <t xml:space="preserve">MORPC_084_00</t>
  </si>
  <si>
    <t xml:space="preserve">Collocation_9_84</t>
  </si>
  <si>
    <t xml:space="preserve">MORPC_084_01</t>
  </si>
  <si>
    <t xml:space="preserve">1865 Nason Avenue</t>
  </si>
  <si>
    <t xml:space="preserve">MORPC_085_00</t>
  </si>
  <si>
    <t xml:space="preserve">Collocation_9_85</t>
  </si>
  <si>
    <t xml:space="preserve">MORPC_085_01</t>
  </si>
  <si>
    <t xml:space="preserve">MORPC_086_00</t>
  </si>
  <si>
    <t xml:space="preserve">Collocation_9_86</t>
  </si>
  <si>
    <t xml:space="preserve">MORPC_086_01</t>
  </si>
  <si>
    <t xml:space="preserve">2050 S High Street</t>
  </si>
  <si>
    <t xml:space="preserve">MORPC_087_00</t>
  </si>
  <si>
    <t xml:space="preserve">Collocation_9_87</t>
  </si>
  <si>
    <t xml:space="preserve">MORPC_087_01</t>
  </si>
  <si>
    <t xml:space="preserve">MORPC_088_00</t>
  </si>
  <si>
    <t xml:space="preserve">Collocation_9_88</t>
  </si>
  <si>
    <t xml:space="preserve">MORPC_088_01</t>
  </si>
  <si>
    <t xml:space="preserve">MORPC_089_00</t>
  </si>
  <si>
    <t xml:space="preserve">Collocation_9_89</t>
  </si>
  <si>
    <t xml:space="preserve">MORPC_089_01</t>
  </si>
  <si>
    <t xml:space="preserve">6725 Alkire Road, Galloway</t>
  </si>
  <si>
    <t xml:space="preserve">City building (road department)</t>
  </si>
  <si>
    <t xml:space="preserve">MORPC_090_00</t>
  </si>
  <si>
    <t xml:space="preserve">Collocation_10_90</t>
  </si>
  <si>
    <t xml:space="preserve">MORPC_090_01</t>
  </si>
  <si>
    <t xml:space="preserve">974 Sullivant Ave.</t>
  </si>
  <si>
    <t xml:space="preserve">Franklinton Farms Community Garden</t>
  </si>
  <si>
    <t xml:space="preserve">Franklinton Farms</t>
  </si>
  <si>
    <t xml:space="preserve">MORPC_091_00</t>
  </si>
  <si>
    <t xml:space="preserve">Collocation_10_91</t>
  </si>
  <si>
    <t xml:space="preserve">MORPC_091_01</t>
  </si>
  <si>
    <t xml:space="preserve">5028 Gilwood Drive</t>
  </si>
  <si>
    <t xml:space="preserve">Hilliard_002</t>
  </si>
  <si>
    <t xml:space="preserve">MORPC_092_00</t>
  </si>
  <si>
    <t xml:space="preserve">Collocation_10_92</t>
  </si>
  <si>
    <t xml:space="preserve">MORPC_092_01</t>
  </si>
  <si>
    <t xml:space="preserve">MORPC_093_00</t>
  </si>
  <si>
    <t xml:space="preserve">Collocation_10_93</t>
  </si>
  <si>
    <t xml:space="preserve">MORPC_093_01</t>
  </si>
  <si>
    <t xml:space="preserve">NorthLinden</t>
  </si>
  <si>
    <t xml:space="preserve">MORPC_094_00</t>
  </si>
  <si>
    <t xml:space="preserve">Collocation_10_94</t>
  </si>
  <si>
    <t xml:space="preserve">MORPC_094_01</t>
  </si>
  <si>
    <t xml:space="preserve">MORPC_095_00</t>
  </si>
  <si>
    <t xml:space="preserve">Collocation_10_95</t>
  </si>
  <si>
    <t xml:space="preserve">MORPC_095_01</t>
  </si>
  <si>
    <t xml:space="preserve">Chaseland</t>
  </si>
  <si>
    <t xml:space="preserve">MORPC_096_00</t>
  </si>
  <si>
    <t xml:space="preserve">Collocation_10_96</t>
  </si>
  <si>
    <t xml:space="preserve">MORPC_096_01</t>
  </si>
  <si>
    <t xml:space="preserve">96 Parkview Ave, Westerville</t>
  </si>
  <si>
    <t xml:space="preserve">MORPC_097_00</t>
  </si>
  <si>
    <t xml:space="preserve">Collocation_10_97</t>
  </si>
  <si>
    <t xml:space="preserve">MORPC_097_01</t>
  </si>
  <si>
    <t xml:space="preserve">Gahanna_2</t>
  </si>
  <si>
    <t xml:space="preserve">MORPC_098_00</t>
  </si>
  <si>
    <t xml:space="preserve">Collocation_10_98</t>
  </si>
  <si>
    <t xml:space="preserve">MORPC_098_01</t>
  </si>
  <si>
    <t xml:space="preserve">111 Liberty Street</t>
  </si>
  <si>
    <t xml:space="preserve">MORPC office</t>
  </si>
  <si>
    <t xml:space="preserve">MORPC</t>
  </si>
  <si>
    <t xml:space="preserve">MORPC_099_00</t>
  </si>
  <si>
    <t xml:space="preserve">Collocation_10_99</t>
  </si>
  <si>
    <t xml:space="preserve">MORPC_100_00</t>
  </si>
  <si>
    <t xml:space="preserve">7561 Smoky Row Rd</t>
  </si>
  <si>
    <t xml:space="preserve">NOTE: Do not </t>
  </si>
  <si>
    <t xml:space="preserve">MORPC_101_00</t>
  </si>
  <si>
    <t xml:space="preserve">7562 Smoky Row Rd</t>
  </si>
  <si>
    <t xml:space="preserve">MORPC_102_00</t>
  </si>
  <si>
    <t xml:space="preserve">7563 Smoky Row Rd</t>
  </si>
  <si>
    <t xml:space="preserve">MORPC_103_00</t>
  </si>
  <si>
    <t xml:space="preserve">7564 Smoky Row Rd</t>
  </si>
  <si>
    <t xml:space="preserve">MORPC_104_00</t>
  </si>
  <si>
    <t xml:space="preserve">7565 Smoky Row Rd</t>
  </si>
  <si>
    <t xml:space="preserve">MORPC_105_00</t>
  </si>
  <si>
    <t xml:space="preserve">7566 Smoky Row Rd</t>
  </si>
  <si>
    <t xml:space="preserve">MORPC_106_00</t>
  </si>
  <si>
    <t xml:space="preserve">7567 Smoky Row Rd</t>
  </si>
  <si>
    <t xml:space="preserve">MORPC_107_00</t>
  </si>
  <si>
    <t xml:space="preserve">7568 Smoky Row Rd</t>
  </si>
  <si>
    <t xml:space="preserve">MORPC_108_00</t>
  </si>
  <si>
    <t xml:space="preserve">7569 Smoky Row Rd</t>
  </si>
  <si>
    <t xml:space="preserve">MORPC_109_00</t>
  </si>
  <si>
    <t xml:space="preserve">7570 Smoky Row Rd</t>
  </si>
  <si>
    <t xml:space="preserve">MORPC_110_00</t>
  </si>
  <si>
    <t xml:space="preserve">7571 Smoky Row Rd</t>
  </si>
  <si>
    <t xml:space="preserve">MORPC_111_00</t>
  </si>
  <si>
    <t xml:space="preserve">7572 Smoky Row Rd</t>
  </si>
  <si>
    <t xml:space="preserve">MORPC_112_00</t>
  </si>
  <si>
    <t xml:space="preserve">MORPC_113_00</t>
  </si>
  <si>
    <t xml:space="preserve">MORPC_114_00</t>
  </si>
  <si>
    <t xml:space="preserve">MORPC_115_00</t>
  </si>
  <si>
    <t xml:space="preserve">MORPC_116_00</t>
  </si>
  <si>
    <t xml:space="preserve">MORPC_117_00</t>
  </si>
  <si>
    <t xml:space="preserve">MORPC_118_00</t>
  </si>
  <si>
    <t xml:space="preserve">MORPC_119_00</t>
  </si>
  <si>
    <t xml:space="preserve">MORPC_120_00</t>
  </si>
  <si>
    <t xml:space="preserve">MORPC_121_00</t>
  </si>
  <si>
    <t xml:space="preserve">MORPC_122_00</t>
  </si>
  <si>
    <t xml:space="preserve">MORPC_123_00</t>
  </si>
  <si>
    <t xml:space="preserve">MORPC_124_00</t>
  </si>
  <si>
    <t xml:space="preserve">MORPC_125_00</t>
  </si>
  <si>
    <t xml:space="preserve">MORPC_126_00</t>
  </si>
  <si>
    <t xml:space="preserve">MORPC_127_00</t>
  </si>
  <si>
    <t xml:space="preserve">MORPC_OSU_001_00</t>
  </si>
  <si>
    <t xml:space="preserve">Collocation_11_001</t>
  </si>
  <si>
    <t xml:space="preserve">MORPC_OSU_002_00</t>
  </si>
  <si>
    <t xml:space="preserve">Collocation_11_002</t>
  </si>
  <si>
    <t xml:space="preserve">MORPC_OSU_003_00</t>
  </si>
  <si>
    <t xml:space="preserve">Collocation_11_003</t>
  </si>
  <si>
    <t xml:space="preserve">MORPC_OSU_004_00</t>
  </si>
  <si>
    <t xml:space="preserve">Collocation_11_004</t>
  </si>
  <si>
    <t xml:space="preserve">MORPC_OSU_005_00</t>
  </si>
  <si>
    <t xml:space="preserve">Collocation_11_005</t>
  </si>
  <si>
    <t xml:space="preserve">MORPC_OSU_006_00</t>
  </si>
  <si>
    <t xml:space="preserve">Collocation_11_006</t>
  </si>
  <si>
    <t xml:space="preserve">MORPC_OSU_007_00</t>
  </si>
  <si>
    <t xml:space="preserve">Collocation_11_007</t>
  </si>
  <si>
    <t xml:space="preserve">MORPC_OSU_008_00</t>
  </si>
  <si>
    <t xml:space="preserve">Collocation_11_008</t>
  </si>
  <si>
    <t xml:space="preserve">MORPC_OSU_009_00</t>
  </si>
  <si>
    <t xml:space="preserve">Collocation_11_009</t>
  </si>
  <si>
    <t xml:space="preserve">MORPC_OSU_010_00</t>
  </si>
  <si>
    <t xml:space="preserve">Collocation_11_010</t>
  </si>
  <si>
    <t xml:space="preserve">MORPC_OSU_011_00</t>
  </si>
  <si>
    <t xml:space="preserve">Collocation_12_011</t>
  </si>
  <si>
    <t xml:space="preserve">MORPC_OSU_012_00</t>
  </si>
  <si>
    <t xml:space="preserve">Collocation_12_012</t>
  </si>
  <si>
    <t xml:space="preserve">MORPC_OSU_013_00</t>
  </si>
  <si>
    <t xml:space="preserve">Collocation_12_013</t>
  </si>
  <si>
    <t xml:space="preserve">MORPC_OSU_014_00</t>
  </si>
  <si>
    <t xml:space="preserve">Collocation_13_014</t>
  </si>
  <si>
    <t xml:space="preserve">MORPC_OSU_015_00</t>
  </si>
  <si>
    <t xml:space="preserve">Collocation_12_015</t>
  </si>
  <si>
    <t xml:space="preserve">MORPC_OSU_016_00</t>
  </si>
  <si>
    <t xml:space="preserve">Collocation_12_016</t>
  </si>
  <si>
    <t xml:space="preserve">MORPC_OSU_017_00</t>
  </si>
  <si>
    <t xml:space="preserve">Collocation_12_017</t>
  </si>
  <si>
    <t xml:space="preserve">MORPC_OSU_018_00</t>
  </si>
  <si>
    <t xml:space="preserve">Collocation_12_018</t>
  </si>
  <si>
    <t xml:space="preserve">MORPC_OSU_019_00</t>
  </si>
  <si>
    <t xml:space="preserve">Collocation_12_019</t>
  </si>
  <si>
    <t xml:space="preserve">MORPC_OSU_020_00</t>
  </si>
  <si>
    <t xml:space="preserve">Collocation_12_020</t>
  </si>
  <si>
    <t xml:space="preserve">MORPC_OSU_021_00</t>
  </si>
  <si>
    <t xml:space="preserve">Collocation_13_021</t>
  </si>
  <si>
    <t xml:space="preserve">MORPC_OSU_022_00</t>
  </si>
  <si>
    <t xml:space="preserve">Collocation_13_022</t>
  </si>
  <si>
    <t xml:space="preserve">MORPC_OSU_023_00</t>
  </si>
  <si>
    <t xml:space="preserve">ZIP</t>
  </si>
  <si>
    <t xml:space="preserve">Lat</t>
  </si>
  <si>
    <t xml:space="preserve">Lon</t>
  </si>
  <si>
    <t xml:space="preserve">Distance to nearest Sensor</t>
  </si>
  <si>
    <t xml:space="preserve">Distance to nearest sensor not in same ZIP Code</t>
  </si>
  <si>
    <t xml:space="preserve">Land Use Type</t>
  </si>
  <si>
    <t xml:space="preserve">Housing Density 
(of unit or majority of units within block)</t>
  </si>
  <si>
    <t xml:space="preserve">Housing Type 
(of unit or majority of units within block)</t>
  </si>
  <si>
    <t xml:space="preserve">Distance to Highways</t>
  </si>
  <si>
    <t xml:space="preserve">Distance to schools (k-12)</t>
  </si>
  <si>
    <t xml:space="preserve">Distance to green spaces 
(Parks, Playgrounds, Rec Areas)</t>
  </si>
  <si>
    <t xml:space="preserve">Walkability Score
https://www.walkscore.com/score/</t>
  </si>
  <si>
    <t xml:space="preserve">Transit Score
https://www.walkscore.com/score/</t>
  </si>
  <si>
    <t xml:space="preserve">Bike Score
https://www.walkscore.com/score/</t>
  </si>
  <si>
    <t xml:space="preserve">Lot Size (acres)</t>
  </si>
  <si>
    <t xml:space="preserve">Building Height (stories)</t>
  </si>
  <si>
    <t xml:space="preserve">Building Age (year built)</t>
  </si>
  <si>
    <t xml:space="preserve">Heating type</t>
  </si>
  <si>
    <t xml:space="preserve">A/C type or availability</t>
  </si>
  <si>
    <t xml:space="preserve">Sensor's Height Off Ground (in inches)</t>
  </si>
  <si>
    <t xml:space="preserve">Proximity to grocery stores (Food deserts?)</t>
  </si>
  <si>
    <t xml:space="preserve">Number of Vehicles/ Parking Spots </t>
  </si>
  <si>
    <t xml:space="preserve">Adjacent to high traffic area (major road e.g. High Street, Broad Street, Parsons, 161, Morse, or similar)?(Y/N) (add description to comments)</t>
  </si>
  <si>
    <t xml:space="preserve">Direct proximity or adjacent to high idle environments (garages, school pick ups, parking lots, stoplight intersection, etc)(if YES, distance; No, NA)(describe in comment)</t>
  </si>
  <si>
    <t xml:space="preserve">General Location description not otherwise characterized</t>
  </si>
  <si>
    <t xml:space="preserve">Park</t>
  </si>
  <si>
    <t xml:space="preserve">Res Low Urban (8-20 units/acre)</t>
  </si>
  <si>
    <t xml:space="preserve">MF</t>
  </si>
  <si>
    <t xml:space="preserve">Heating types</t>
  </si>
  <si>
    <t xml:space="preserve">AC types</t>
  </si>
  <si>
    <t xml:space="preserve">Sensor location on building</t>
  </si>
  <si>
    <t xml:space="preserve">Government</t>
  </si>
  <si>
    <t xml:space="preserve">Attached to an Ohio EPA regulatory monitoring trailer for long-term co-location purposes. Sensor is surrounded by a fire station and residential homes to the North, two water towers and residential homes to the East, a highway to the South, and a two-way road followed by residential homes to the West. </t>
  </si>
  <si>
    <t xml:space="preserve">Natural Gas Furnace</t>
  </si>
  <si>
    <t xml:space="preserve">Central Air</t>
  </si>
  <si>
    <t xml:space="preserve">North Wall/Corner</t>
  </si>
  <si>
    <t xml:space="preserve">441 Nashoba Ave</t>
  </si>
  <si>
    <t xml:space="preserve">Residential</t>
  </si>
  <si>
    <t xml:space="preserve">SF</t>
  </si>
  <si>
    <t xml:space="preserve">Attached to a garage in the backyard of a private residence. Sensor is located in a large residential neighborhood surrounded by single family and multifamily homes to the North, East, South, and West. There are two-way roads to the North &amp; South of the sensor. </t>
  </si>
  <si>
    <t xml:space="preserve">Propane or Oil Furnace</t>
  </si>
  <si>
    <t xml:space="preserve">Ductless</t>
  </si>
  <si>
    <t xml:space="preserve">South Wall/Corner</t>
  </si>
  <si>
    <t xml:space="preserve">Electric Furnace</t>
  </si>
  <si>
    <t xml:space="preserve">Window Unit</t>
  </si>
  <si>
    <t xml:space="preserve">East Wall/Corner</t>
  </si>
  <si>
    <t xml:space="preserve">850 N Nelson Rd</t>
  </si>
  <si>
    <t xml:space="preserve">Res High Suburban (5-8 units/acre)</t>
  </si>
  <si>
    <t xml:space="preserve">Attached to a light pole in the parking lot of a Columbus Metropolitan Library. Sensor is located in a high traffic area surrounded by roads on all four sides. There is a highway to the South, and four-lane roads to the East and West. Additionally, there is a gas station and fast-food restaurant to the East of the sensor.</t>
  </si>
  <si>
    <t xml:space="preserve">Natural Gas Boiler</t>
  </si>
  <si>
    <t xml:space="preserve">Portable</t>
  </si>
  <si>
    <t xml:space="preserve">West Wall/Corner</t>
  </si>
  <si>
    <t xml:space="preserve">Propane or Oil Boiler</t>
  </si>
  <si>
    <t xml:space="preserve">Floor-mount</t>
  </si>
  <si>
    <t xml:space="preserve">Northeast Wall/Corner</t>
  </si>
  <si>
    <t xml:space="preserve">Electric Boiler</t>
  </si>
  <si>
    <t xml:space="preserve">Geothermal</t>
  </si>
  <si>
    <t xml:space="preserve">Northwest Wall/Corner</t>
  </si>
  <si>
    <t xml:space="preserve">Heat Pump</t>
  </si>
  <si>
    <t xml:space="preserve">Other (document any specifics)</t>
  </si>
  <si>
    <t xml:space="preserve">Southeast Wall/Corner</t>
  </si>
  <si>
    <t xml:space="preserve">Commercial</t>
  </si>
  <si>
    <t xml:space="preserve">Attached to a storage shed behind a catering business. Sensor is located in an area surrounded by businesses and multi-unit housing. There is a large parking lot and apartment complex to the North, businesses and parking lots to the East and West, and restaurant and auto repair shop to the South of the sensor. Additionally, there is a busy four-lane road West of the sensor. </t>
  </si>
  <si>
    <t xml:space="preserve">Wood Heating</t>
  </si>
  <si>
    <t xml:space="preserve">None</t>
  </si>
  <si>
    <t xml:space="preserve">Southwest Wall/Corner</t>
  </si>
  <si>
    <t xml:space="preserve">Not next to a building (more than 5-yards from any structure)</t>
  </si>
  <si>
    <t xml:space="preserve">2768 Audubon Road</t>
  </si>
  <si>
    <t xml:space="preserve">Attached to the outside of a private residence. Sensor is located in a large residential area surrounded by single family homes to the North, East, and South. There is a two-way street and park to the West of the sensor.</t>
  </si>
  <si>
    <t xml:space="preserve">1575 Studer Ave</t>
  </si>
  <si>
    <t xml:space="preserve">Attached to a pole in the backyard of a private residence. Sensor is located in a large residential area surrounded by single family homes to the North, East, South, and West. There are two-way roads to the East and South of the sensor and an alleyway to the West.</t>
  </si>
  <si>
    <t xml:space="preserve">4445 E Broad St</t>
  </si>
  <si>
    <t xml:space="preserve">5271 N High St</t>
  </si>
  <si>
    <r>
      <rPr>
        <sz val="10"/>
        <color rgb="FF000000"/>
        <rFont val="Arial"/>
        <family val="0"/>
        <charset val="1"/>
      </rPr>
      <t xml:space="preserve">Attached to the side of a </t>
    </r>
    <r>
      <rPr>
        <sz val="11"/>
        <color rgb="FF000000"/>
        <rFont val="Calibri"/>
        <family val="2"/>
        <charset val="1"/>
      </rPr>
      <t xml:space="preserve">regional transit authority transit hub building</t>
    </r>
    <r>
      <rPr>
        <sz val="10.5"/>
        <color rgb="FF000000"/>
        <rFont val="Calibri"/>
        <family val="2"/>
        <charset val="1"/>
      </rPr>
      <t xml:space="preserve">. Public transportation vehicles may idle or park in this parking lot. Sensor is surrounded </t>
    </r>
    <r>
      <rPr>
        <sz val="11"/>
        <color rgb="FF000000"/>
        <rFont val="Calibri"/>
        <family val="2"/>
        <charset val="1"/>
      </rPr>
      <t xml:space="preserve">by restaurants and parking lots to the North; a four-lane road, large parking lots and corporate offices to the East; a two-lane street, a restaurant and residential homes to the South; and residential homes to the West.</t>
    </r>
  </si>
  <si>
    <t xml:space="preserve">Attached to a greenhouse at a horticultural and educational institution. Surrounded by a four-lane road, green space, gardens, and conservatory buildings to the North; green space, gardens, conservatory buildings, and a parking lot to the East; green space and gardens to the South and West.</t>
  </si>
  <si>
    <t xml:space="preserve">3540 S High St</t>
  </si>
  <si>
    <t xml:space="preserve">Res Mod Suburban (3-5 units/acre)</t>
  </si>
  <si>
    <t xml:space="preserve">Attached to a fence at a Columbus Metropolitan Library. Surrounded by a parking lot and dental office to the North; residential homes, a parking lot, and a medical office to the East; a two-lane street and a fast-food restaurant to the South; and a four-lane road, several fast-food restaurants, and a used car dealership to the West.</t>
  </si>
  <si>
    <t xml:space="preserve">1390 Cleveland Ave</t>
  </si>
  <si>
    <t xml:space="preserve">Attached to the side of a regional transit authority transit hub building. Surrounded by a large intersection, office building, and restaurants to the North; a two-lane street and office buildings to the East; a large parking lot and residential homes to the South; and a two-lane street, heating equipment supplier, and a police substation to the West.</t>
  </si>
  <si>
    <t xml:space="preserve">NA</t>
  </si>
  <si>
    <t xml:space="preserve">Attached to the side of a multi-use (office space and restaurants) building. Surrounded by residential condos to the North; a parking lot and businesses to the East; business offices, restaurants, several other businesses, and a two-lane street to the South; and a large parking lot and apartments to the West.</t>
  </si>
  <si>
    <t xml:space="preserve">1125 East Main St</t>
  </si>
  <si>
    <t xml:space="preserve">Attached to the outside of a regional transit authority transit hub building. Surrounded by a four-lane road, an auto repair shop, community center, and a bus stop to the North; green space, condos, a two-way street, and a large parking lot to the East; a parking lot, two-way street, and condos to the South; and a two-way street, green space and residential homes to the West.</t>
  </si>
  <si>
    <t xml:space="preserve">Located on the roof of a school in a residential neighborhood. Surrounded by a two-lane street, baseball field, and playground to the North; a parking lot, playground, basketball courts, two-way street, and residential homes to the East; a two-way street and residential homes to the South; and greenspace, a playground, two-way street, and residential homes to the West.  </t>
  </si>
  <si>
    <t xml:space="preserve">n/a</t>
  </si>
  <si>
    <t xml:space="preserve">Attached to the side of the science center in a small outdoor green space for visitors. Surrounded by four-lane road and museum to the North; a two-lane street, park, and Scioto River to the East; a two-lane street and park to the South; and green space, a two-lane street, and a hotel and business offices to the West.</t>
  </si>
  <si>
    <t xml:space="preserve">Attached to a fence in the backyard of a private residence. Surrounded by residential homes North, a two-way street and residential homes to the East, and residential homes to the South and West. </t>
  </si>
  <si>
    <t xml:space="preserve">2527 Nassau Drive</t>
  </si>
  <si>
    <t xml:space="preserve">Attached to the fence of an apartment building in a large apartment complex. Sensor is surrounded by apartment buildings to the North, South, East, and a large parking lot and apartment buildings to the West.</t>
  </si>
  <si>
    <t xml:space="preserve">897 W Broad St</t>
  </si>
  <si>
    <t xml:space="preserve">Attached to the side of a bicycle repair shop. Surrounded by a four-lane road, several restaurants, stores, and an auto body shop to the North; parking lots, and a used tire shop to the East; residential homes to the South; and a one-way street, restaurant, and large parking lot to the West.</t>
  </si>
  <si>
    <t xml:space="preserve">Attached to a pole that was staked in the ground outside of a Columbus Public Metropolitan Library. Sensor is surrounded by a four-lane road, apartments, condos, and office buildings to the North; residential homes, office buildings, and a brewery to the East; green space and residential homes to the South; and a church and school with a large parking lot to the West.</t>
  </si>
  <si>
    <t xml:space="preserve">164 Hayden Ave</t>
  </si>
  <si>
    <t xml:space="preserve">Attached to the side of a home at a private residence. Surrounded by residential homes and railroad tracks to the North, a two-way street and residential homes to the East, residential homes to the South, and a two-way street and residential homes to the West.</t>
  </si>
  <si>
    <t xml:space="preserve">2650 London Groveport Rd</t>
  </si>
  <si>
    <t xml:space="preserve">Attached to the side of a fire station. Surrounded by a recycling drop off station and residential homes to the North; several fast-food restaurants to the East; a four-lane road, garden center, and car wash to the South; and an auto parts store and restaurant with large parking lots to the West.</t>
  </si>
  <si>
    <t xml:space="preserve">6330 S Hempstead Rd</t>
  </si>
  <si>
    <t xml:space="preserve">Attached to the side of a senior center building. Surrounded by a parking lot and several township buildings to the North, a community garden and residential homes to the East, a cemetery to the South, and a two-lane road and residential homes to the West.</t>
  </si>
  <si>
    <t xml:space="preserve">511 S Hague Ave</t>
  </si>
  <si>
    <t xml:space="preserve">2879 Valleyview Drive</t>
  </si>
  <si>
    <t xml:space="preserve">Res Suburban (1.5-3 units/acre)</t>
  </si>
  <si>
    <t xml:space="preserve">Located on the roof of a YMCA. Sensor is surrounded by a large parking lot, two-lane road, and residential homes to the North; a church and a large parking lot to the East; railroad tracks and apartments to the South; and two schools and parking lots to the West.  </t>
  </si>
  <si>
    <t xml:space="preserve">3226 Kingston Ave</t>
  </si>
  <si>
    <t xml:space="preserve">Attached to the side of a city building in Grove City. Sensor is surrounded by a school, parking lot, and park to the North; residential homes to the East; a two-lane road and residential homes to the South; and a two-way road and residential homes to the West. </t>
  </si>
  <si>
    <t xml:space="preserve">1.7 mi</t>
  </si>
  <si>
    <t xml:space="preserve">1.2 mi</t>
  </si>
  <si>
    <t xml:space="preserve">Y</t>
  </si>
  <si>
    <t xml:space="preserve">Attached to a 40-foot residential HAM radio tower, facing Rhoads Avenue. Boren Brothers Waste Management is across Rhoads to the east, with an active railroad track behind Boren Bros., and the site is located 2 blocks south of the I-70 East highway. To the west is a residential neighborhood. When the sensor was installed, there was a building being demolished a block down the road to the south that was releasing a lot of dust. The Coats have reported that the level of dust and soot in the area has been the same for decades. </t>
  </si>
  <si>
    <t xml:space="preserve">N</t>
  </si>
  <si>
    <t xml:space="preserve">No; the sensor is located on the rear of the home, facing the Scioto Grove Metro Park forest, a protected area. The home itself is located in a cul-de-sac about 5 minutes away from any major road.</t>
  </si>
  <si>
    <t xml:space="preserve">Yes; located on Leap Road, a main road that leads into Hilliard. There was steady traffic going through during installation. Site host also reports lots of construction traffic that will pass during the early morning and late evening hours as they to the Amazon construction site.</t>
  </si>
  <si>
    <t xml:space="preserve">In the backyard attached to a deck. </t>
  </si>
  <si>
    <t xml:space="preserve">600 Ackerman Road</t>
  </si>
  <si>
    <t xml:space="preserve">Furnace</t>
  </si>
  <si>
    <t xml:space="preserve">central air</t>
  </si>
  <si>
    <t xml:space="preserve">~84 in.</t>
  </si>
  <si>
    <t xml:space="preserve">0.7 mi</t>
  </si>
  <si>
    <t xml:space="preserve">Located in backyard on a downspout</t>
  </si>
  <si>
    <t xml:space="preserve">Hot Spot ID</t>
  </si>
  <si>
    <t xml:space="preserve">Status
(Deployed/Not Deployed/Not Functioning)</t>
  </si>
  <si>
    <t xml:space="preserve">Serial #</t>
  </si>
  <si>
    <t xml:space="preserve">SSID</t>
  </si>
  <si>
    <t xml:space="preserve">MAC</t>
  </si>
  <si>
    <t xml:space="preserve">Mobile Hotspot Password</t>
  </si>
  <si>
    <t xml:space="preserve">Sensor ID Deployed with</t>
  </si>
  <si>
    <t xml:space="preserve">MM223200003057</t>
  </si>
  <si>
    <t xml:space="preserve">IBR200-a88</t>
  </si>
  <si>
    <t xml:space="preserve">003044801a88</t>
  </si>
  <si>
    <t xml:space="preserve">MM223200003051</t>
  </si>
  <si>
    <t xml:space="preserve">IBR200-a7c</t>
  </si>
  <si>
    <t xml:space="preserve">003044801a7c</t>
  </si>
  <si>
    <t xml:space="preserve">IBR200-534</t>
  </si>
  <si>
    <t xml:space="preserve">0030445ca534</t>
  </si>
  <si>
    <t xml:space="preserve">MM204700003348</t>
  </si>
  <si>
    <t xml:space="preserve">IBR200-536</t>
  </si>
  <si>
    <t xml:space="preserve">0030445ca536</t>
  </si>
  <si>
    <t xml:space="preserve">AirBeam2</t>
  </si>
  <si>
    <t xml:space="preserve">mobile, not deployed</t>
  </si>
  <si>
    <t xml:space="preserve">Contact name</t>
  </si>
  <si>
    <t xml:space="preserve">Zip Code</t>
  </si>
  <si>
    <t xml:space="preserve">Latitude</t>
  </si>
  <si>
    <t xml:space="preserve">Longitude</t>
  </si>
  <si>
    <t xml:space="preserve">Point of engagement</t>
  </si>
  <si>
    <t xml:space="preserve">Phone number</t>
  </si>
  <si>
    <t xml:space="preserve">Map of potential monitor locations</t>
  </si>
  <si>
    <t xml:space="preserve">Courtwright and Kimberly</t>
  </si>
  <si>
    <t xml:space="preserve">Jessica Brewer &lt;jessica.brewer02@gmail.com&gt;</t>
  </si>
  <si>
    <t xml:space="preserve">https://www.google.com/maps/d/edit?hl=en&amp;hl=en&amp;mid=1K1EHvdKbWaSVJ6bSEk0Gi2y4etZga1ga&amp;ll=40.022036292738534%2C-82.97500179848956&amp;z=11</t>
  </si>
  <si>
    <t xml:space="preserve">Northland Transit Center</t>
  </si>
  <si>
    <t xml:space="preserve">Russell Joehlin &lt;rjoehlin@alterrare.com&gt;</t>
  </si>
  <si>
    <t xml:space="preserve">Dave Wallace</t>
  </si>
  <si>
    <t xml:space="preserve">215 Norton Rd. Columbus OH, 43228
</t>
  </si>
  <si>
    <t xml:space="preserve">David Wallace &lt;David.Wallace@swcsd.us&gt;</t>
  </si>
  <si>
    <t xml:space="preserve">CHAT</t>
  </si>
  <si>
    <t xml:space="preserve">Sharon Pantelis</t>
  </si>
  <si>
    <t xml:space="preserve">1161 Westpal Ave 43227</t>
  </si>
  <si>
    <t xml:space="preserve">Sharon Pantelis &lt;sharonpantelis@att.net&gt;</t>
  </si>
  <si>
    <t xml:space="preserve">Mid East Area Commission</t>
  </si>
  <si>
    <t xml:space="preserve">Chris Knoppe</t>
  </si>
  <si>
    <t xml:space="preserve">West Broad St</t>
  </si>
  <si>
    <t xml:space="preserve">Chris Knoppe &lt;ChrisK@NewCityOhio.com&gt;</t>
  </si>
  <si>
    <t xml:space="preserve">Craig Foster</t>
  </si>
  <si>
    <t xml:space="preserve">243 W. Schreyer Pl, 43214</t>
  </si>
  <si>
    <t xml:space="preserve">craig@energility.com</t>
  </si>
  <si>
    <t xml:space="preserve">E&amp;AQ Working Group</t>
  </si>
  <si>
    <t xml:space="preserve">Christopher Gecik</t>
  </si>
  <si>
    <t xml:space="preserve">69 Orchard Lane, Columbus 43214</t>
  </si>
  <si>
    <t xml:space="preserve">Gecik, Christopher &lt;gecik.1@osu.edu&gt;</t>
  </si>
  <si>
    <t xml:space="preserve">307 E Kanawha Ave, Columbus 43214</t>
  </si>
  <si>
    <t xml:space="preserve">Doug Shoemaker</t>
  </si>
  <si>
    <t xml:space="preserve">Whitehall city schools</t>
  </si>
  <si>
    <t xml:space="preserve">Doug Shoemaker &lt;shoemakerd@wcsrams.org&gt;</t>
  </si>
  <si>
    <t xml:space="preserve">Linden Transit Center - 1390 Cleveland Ave, Columbus, OH 43211</t>
  </si>
  <si>
    <t xml:space="preserve">Gregory Lee</t>
  </si>
  <si>
    <t xml:space="preserve">2866 Scottwood Rd</t>
  </si>
  <si>
    <t xml:space="preserve">Berwick Area Commissioner &lt;berwickcommissioner.mac@gmail.com&gt;</t>
  </si>
  <si>
    <t xml:space="preserve">Roy Lowenstein</t>
  </si>
  <si>
    <t xml:space="preserve">1722 Oak St.</t>
  </si>
  <si>
    <t xml:space="preserve">Roy Lowenstein &lt;rlowenstein6@gmail.com&gt;</t>
  </si>
  <si>
    <t xml:space="preserve">Near East</t>
  </si>
  <si>
    <t xml:space="preserve">1125 East Main st, Near East Transit Center</t>
  </si>
  <si>
    <t xml:space="preserve">5271 N High St, Westview Layover </t>
  </si>
  <si>
    <t xml:space="preserve">Hayden Ave</t>
  </si>
  <si>
    <t xml:space="preserve">Jason Boylan &lt;boylanjasonc@gmail.com&gt;</t>
  </si>
  <si>
    <t xml:space="preserve">Brooke White</t>
  </si>
  <si>
    <t xml:space="preserve">1082 Mulford Rd</t>
  </si>
  <si>
    <t xml:space="preserve">bwhite@morpc.org</t>
  </si>
  <si>
    <t xml:space="preserve">GreenSpot</t>
  </si>
  <si>
    <t xml:space="preserve">Katharine Harding &lt;katharine6547@gmail.com&gt;</t>
  </si>
  <si>
    <t xml:space="preserve">Marya Kowal</t>
  </si>
  <si>
    <t xml:space="preserve">2090 Sawbury Blvd</t>
  </si>
  <si>
    <t xml:space="preserve">mkkowal@yahoo.com</t>
  </si>
  <si>
    <t xml:space="preserve">NW Columbus</t>
  </si>
  <si>
    <t xml:space="preserve">Kimberly Bridges</t>
  </si>
  <si>
    <t xml:space="preserve">4979 Grimm Dr.</t>
  </si>
  <si>
    <t xml:space="preserve">tweety43210@yahoo.com</t>
  </si>
  <si>
    <t xml:space="preserve">Lockbourne</t>
  </si>
  <si>
    <t xml:space="preserve">Anne Hurley</t>
  </si>
  <si>
    <t xml:space="preserve">Anne Literata Hurley &lt;anneliterata@gmail.com&gt;</t>
  </si>
  <si>
    <t xml:space="preserve">Laura Nein</t>
  </si>
  <si>
    <t xml:space="preserve">878 Carolyn Ave</t>
  </si>
  <si>
    <t xml:space="preserve">Laura Nein &lt;nein999@me.com&gt;</t>
  </si>
  <si>
    <t xml:space="preserve">GreenSpot?</t>
  </si>
  <si>
    <t xml:space="preserve">Benjamin Keith &lt;benlkeith@gmail.com&gt;</t>
  </si>
  <si>
    <t xml:space="preserve">Twitter</t>
  </si>
  <si>
    <t xml:space="preserve">1486 Virginia Ave</t>
  </si>
  <si>
    <t xml:space="preserve">Sims, Kristian S. &lt;sims.293@buckeyemail.osu.edu&gt;</t>
  </si>
  <si>
    <t xml:space="preserve">Networking</t>
  </si>
  <si>
    <t xml:space="preserve">Linda Rosine</t>
  </si>
  <si>
    <t xml:space="preserve">lrosine@grovecityohio.gov</t>
  </si>
  <si>
    <t xml:space="preserve">FCPH</t>
  </si>
  <si>
    <t xml:space="preserve">Christopher Scannell</t>
  </si>
  <si>
    <t xml:space="preserve">1350 Briarwood Ave Columbus, OH 43211</t>
  </si>
  <si>
    <t xml:space="preserve">CMScannell@columbus.gov</t>
  </si>
  <si>
    <t xml:space="preserve">Alana Shockey</t>
  </si>
  <si>
    <t xml:space="preserve">251 E Weber Rd, Columbus, OH 43202</t>
  </si>
  <si>
    <t xml:space="preserve">Jared J Laughbaum &lt;jlaughbaum7833@columbus.k12.oh.us&gt;</t>
  </si>
  <si>
    <t xml:space="preserve">Clintonville area commission</t>
  </si>
  <si>
    <t xml:space="preserve">Madison Massey</t>
  </si>
  <si>
    <t xml:space="preserve">1500 E. 17th Ave.</t>
  </si>
  <si>
    <t xml:space="preserve">mmassey@saintstephensch.org</t>
  </si>
  <si>
    <t xml:space="preserve">South Linden</t>
  </si>
  <si>
    <t xml:space="preserve">Amanda Wolin</t>
  </si>
  <si>
    <t xml:space="preserve">Lithopolis</t>
  </si>
  <si>
    <t xml:space="preserve">amanda.wolin@lithopolis.org</t>
  </si>
  <si>
    <t xml:space="preserve">They reached out</t>
  </si>
  <si>
    <t xml:space="preserve">164 Hayden Ave, Columbus, OH 43222</t>
  </si>
  <si>
    <t xml:space="preserve">Area Commission</t>
  </si>
  <si>
    <t xml:space="preserve">Ms. Peg</t>
  </si>
  <si>
    <t xml:space="preserve">1562 cleveland</t>
  </si>
  <si>
    <t xml:space="preserve">Steven Simpkin</t>
  </si>
  <si>
    <t xml:space="preserve">2157 Green Island Drive</t>
  </si>
  <si>
    <t xml:space="preserve">West Scioto</t>
  </si>
  <si>
    <t xml:space="preserve">General inquiry</t>
  </si>
  <si>
    <t xml:space="preserve">Stacee Green</t>
  </si>
  <si>
    <t xml:space="preserve">1833 Kent Street (address of president of Driving Park Civic Association)</t>
  </si>
  <si>
    <t xml:space="preserve">Interest below is as of 5/30/2024</t>
  </si>
  <si>
    <t xml:space="preserve">Vikram (CPH)</t>
  </si>
  <si>
    <t xml:space="preserve">Reeb Center (Community Liaison's South Side Office) 280 Reeb Ave, Columbus</t>
  </si>
  <si>
    <t xml:space="preserve">Ethan MORPC</t>
  </si>
  <si>
    <t xml:space="preserve">1323 City Park Ave</t>
  </si>
  <si>
    <t xml:space="preserve">Potential 5</t>
  </si>
  <si>
    <t xml:space="preserve">JR MORPC</t>
  </si>
  <si>
    <t xml:space="preserve">Devin MORPC</t>
  </si>
  <si>
    <t xml:space="preserve">Potential 6</t>
  </si>
  <si>
    <t xml:space="preserve">Madison MORPC</t>
  </si>
  <si>
    <t xml:space="preserve">5328 cherry Bud court, Columbus, OH</t>
  </si>
  <si>
    <t xml:space="preserve">Potential 7</t>
  </si>
  <si>
    <t xml:space="preserve">Brandi MORPC</t>
  </si>
  <si>
    <t xml:space="preserve">PLACEHOLDER added to ArcGIS map</t>
  </si>
  <si>
    <t xml:space="preserve">Potential 8</t>
  </si>
  <si>
    <t xml:space="preserve">William MORPC</t>
  </si>
  <si>
    <r>
      <rPr>
        <sz val="12"/>
        <color rgb="FF000000"/>
        <rFont val="Aptos"/>
        <family val="2"/>
        <charset val="1"/>
      </rPr>
      <t xml:space="preserve">421 W 8</t>
    </r>
    <r>
      <rPr>
        <vertAlign val="superscript"/>
        <sz val="10"/>
        <color rgb="FF000000"/>
        <rFont val="Aptos"/>
        <family val="2"/>
        <charset val="1"/>
      </rPr>
      <t xml:space="preserve">th</t>
    </r>
    <r>
      <rPr>
        <sz val="12"/>
        <color rgb="FF000000"/>
        <rFont val="Aptos"/>
        <family val="2"/>
        <charset val="1"/>
      </rPr>
      <t xml:space="preserve"> Ave, Columbus</t>
    </r>
  </si>
  <si>
    <t xml:space="preserve">Potential 9</t>
  </si>
  <si>
    <t xml:space="preserve">Alli MORPC</t>
  </si>
  <si>
    <t xml:space="preserve">Whittier area</t>
  </si>
  <si>
    <t xml:space="preserve">Kelsey MORPC</t>
  </si>
  <si>
    <t xml:space="preserve">2263 Lila Way, Columbus, OH</t>
  </si>
  <si>
    <t xml:space="preserve">Potential 10</t>
  </si>
  <si>
    <t xml:space="preserve">Tunazzina MORPC</t>
  </si>
  <si>
    <t xml:space="preserve">Riverview area (PLACEHOLDER added to map)</t>
  </si>
  <si>
    <t xml:space="preserve">Potential 11</t>
  </si>
  <si>
    <t xml:space="preserve">Jason Fasone</t>
  </si>
  <si>
    <t xml:space="preserve">4567 Firehouse Lane, Groveport</t>
  </si>
  <si>
    <t xml:space="preserve">Potential 12</t>
  </si>
  <si>
    <t xml:space="preserve">Jennie FCPH</t>
  </si>
  <si>
    <t xml:space="preserve">6600 Gender Road, Canal Winchester</t>
  </si>
  <si>
    <t xml:space="preserve">Potential 13</t>
  </si>
  <si>
    <t xml:space="preserve">3228 Noe-Bixby</t>
  </si>
  <si>
    <t xml:space="preserve">Potential 14</t>
  </si>
  <si>
    <t xml:space="preserve">5051 Canyon Grove Drive, Canal Winchester</t>
  </si>
  <si>
    <t xml:space="preserve">Potential 15</t>
  </si>
  <si>
    <t xml:space="preserve">Matios Teffere</t>
  </si>
  <si>
    <t xml:space="preserve">Clintonville GreenSpot</t>
  </si>
  <si>
    <t xml:space="preserve">Angela Taah</t>
  </si>
  <si>
    <t xml:space="preserve">1712 Ivyhill Loop N, Columbus</t>
  </si>
  <si>
    <t xml:space="preserve">Potential 16</t>
  </si>
  <si>
    <t xml:space="preserve">Bill Vedara</t>
  </si>
  <si>
    <t xml:space="preserve">3262 Ventura Blvd, Grove City</t>
  </si>
  <si>
    <t xml:space="preserve">Potential 17</t>
  </si>
  <si>
    <t xml:space="preserve">Mary Ann Abiado</t>
  </si>
  <si>
    <t xml:space="preserve">5473 Wellcrest Court, Galloway</t>
  </si>
  <si>
    <t xml:space="preserve">Potential 18</t>
  </si>
  <si>
    <t xml:space="preserve">Ohio Asian American Health Coalition</t>
  </si>
  <si>
    <t xml:space="preserve">"We are by the gray box in Hilliard and Darby glen" (PLACEHOLDER added to map)</t>
  </si>
  <si>
    <t xml:space="preserve">Potential 19</t>
  </si>
  <si>
    <t xml:space="preserve">Gavin</t>
  </si>
  <si>
    <t xml:space="preserve">860 Geneva Ave</t>
  </si>
  <si>
    <t xml:space="preserve">Potential 20</t>
  </si>
  <si>
    <t xml:space="preserve">4463 Lauraland Dr. E</t>
  </si>
  <si>
    <t xml:space="preserve">Potential 21</t>
  </si>
  <si>
    <t xml:space="preserve">Potential 22</t>
  </si>
  <si>
    <t xml:space="preserve">6177 Sharon Woods Blvd</t>
  </si>
  <si>
    <t xml:space="preserve">Potential 23</t>
  </si>
  <si>
    <t xml:space="preserve">Note: Cross check zip codes that need monitors with locations that have a common organization like libraries, and columbus rec centers to streamline process. </t>
  </si>
  <si>
    <t xml:space="preserve">YWCA/YMCA</t>
  </si>
  <si>
    <t xml:space="preserve">Columbus Rec Centers</t>
  </si>
  <si>
    <t xml:space="preserve">Libraries</t>
  </si>
  <si>
    <t xml:space="preserve">Chain of stores</t>
  </si>
  <si>
    <t xml:space="preserve">Name/organization</t>
  </si>
  <si>
    <t xml:space="preserve">Sign locations</t>
  </si>
  <si>
    <t xml:space="preserve"># of signs</t>
  </si>
  <si>
    <t xml:space="preserve">Will be contacted by:</t>
  </si>
  <si>
    <t xml:space="preserve">Description</t>
  </si>
  <si>
    <t xml:space="preserve"># of Sensors Sited There</t>
  </si>
  <si>
    <t xml:space="preserve"># of potential siting spots</t>
  </si>
  <si>
    <t xml:space="preserve">Total existing and potential</t>
  </si>
  <si>
    <t xml:space="preserve">Outreach Plans</t>
  </si>
  <si>
    <t xml:space="preserve">Priority for Sensor Placement</t>
  </si>
  <si>
    <t xml:space="preserve">(Near East/King Lincoln, have one at Franklin Park Conservatory already)</t>
  </si>
  <si>
    <t xml:space="preserve">First Round</t>
  </si>
  <si>
    <t xml:space="preserve">(South Linden, have offer to site one at community center here)</t>
  </si>
  <si>
    <t xml:space="preserve">Second Round</t>
  </si>
  <si>
    <t xml:space="preserve">(Franklinton, have one at Franklinton Cycle Works already)</t>
  </si>
  <si>
    <t xml:space="preserve">(Whitehall)</t>
  </si>
  <si>
    <t xml:space="preserve">Install at Barnett Branch if can't reach Carol Stitzlein</t>
  </si>
  <si>
    <t xml:space="preserve">(Blacklick)</t>
  </si>
  <si>
    <t xml:space="preserve">Email Jessica Brewer</t>
  </si>
  <si>
    <t xml:space="preserve">(Hilltop)</t>
  </si>
  <si>
    <t xml:space="preserve">CML Branch to come to 2</t>
  </si>
  <si>
    <t xml:space="preserve">(Grove City)</t>
  </si>
  <si>
    <t xml:space="preserve">Email about Southwest Libraries and Linda Rosine</t>
  </si>
  <si>
    <t xml:space="preserve">(Clintonville)</t>
  </si>
  <si>
    <t xml:space="preserve">(Grandview Heights)</t>
  </si>
  <si>
    <t xml:space="preserve">Install at Brooke house?</t>
  </si>
  <si>
    <t xml:space="preserve">(Far South)</t>
  </si>
  <si>
    <t xml:space="preserve">email Katharine Harding and CML South High Branch</t>
  </si>
  <si>
    <t xml:space="preserve">Total</t>
  </si>
  <si>
    <t xml:space="preserve">Need one for Blacklick and one for Grove City, install in Gview heights, maintenance in Hilltop, follow up on CML and other install opportunities</t>
  </si>
  <si>
    <t xml:space="preserve">Near Yenkin-Majestic paint factory, requested by NAACP and Area Commission</t>
  </si>
  <si>
    <t xml:space="preserve">coordinate with Tiffany White tiffanywhite9@aol.com</t>
  </si>
  <si>
    <t xml:space="preserve">Number</t>
  </si>
  <si>
    <t xml:space="preserve">Batch</t>
  </si>
  <si>
    <t xml:space="preserve">Start</t>
  </si>
  <si>
    <t xml:space="preserve">End</t>
  </si>
  <si>
    <t xml:space="preserve">Key Performance Metrics (Evaluated for EPA-Calibrated Data)</t>
  </si>
  <si>
    <t xml:space="preserve">Pass/Fail</t>
  </si>
  <si>
    <t xml:space="preserve">R-Squared</t>
  </si>
  <si>
    <t xml:space="preserve">Slope</t>
  </si>
  <si>
    <t xml:space="preserve">Intercept</t>
  </si>
  <si>
    <t xml:space="preserve">RMSE</t>
  </si>
  <si>
    <t xml:space="preserve">nRMSE</t>
  </si>
  <si>
    <t xml:space="preserve">Bias</t>
  </si>
  <si>
    <t xml:space="preserve">MNB</t>
  </si>
  <si>
    <t xml:space="preserve">intersensor CV</t>
  </si>
  <si>
    <t xml:space="preserve">intersensor SD</t>
  </si>
  <si>
    <t xml:space="preserve">Limited span of collocation data led to low R-Squared and nRMSE Values; Daily values are reported instead of Hourly Values</t>
  </si>
  <si>
    <t xml:space="preserve">MIN</t>
  </si>
  <si>
    <t xml:space="preserve">MEAN</t>
  </si>
  <si>
    <t xml:space="preserve">MAX</t>
  </si>
  <si>
    <t xml:space="preserve">label_deployment</t>
  </si>
  <si>
    <t xml:space="preserve">label</t>
  </si>
  <si>
    <t xml:space="preserve">ID</t>
  </si>
  <si>
    <t xml:space="preserve">MORPC_010_01</t>
  </si>
  <si>
    <t xml:space="preserve">MORPC_039_00</t>
  </si>
  <si>
    <t xml:space="preserve">MORPC_041_01</t>
  </si>
  <si>
    <t xml:space="preserve">MORPC_042_00</t>
  </si>
  <si>
    <t xml:space="preserve">MORPC_043_00</t>
  </si>
  <si>
    <t xml:space="preserve">OSU Asset #</t>
  </si>
  <si>
    <t xml:space="preserve">Simple ID</t>
  </si>
  <si>
    <t xml:space="preserve">MAC ID</t>
  </si>
  <si>
    <t xml:space="preserve">MORPC Name</t>
  </si>
  <si>
    <t xml:space="preserve">MORPC Collocation</t>
  </si>
  <si>
    <t xml:space="preserve">MORPC First Deployment</t>
  </si>
  <si>
    <t xml:space="preserve">NC260030</t>
  </si>
  <si>
    <t xml:space="preserve">10-52-1C-41-5B-3E</t>
  </si>
  <si>
    <t xml:space="preserve">MORPC_OSU_001_01</t>
  </si>
  <si>
    <t xml:space="preserve">Verified working</t>
  </si>
  <si>
    <t xml:space="preserve">NC260217</t>
  </si>
  <si>
    <t xml:space="preserve">10-52-1C-45-B-4B</t>
  </si>
  <si>
    <t xml:space="preserve">MORPC_OSU_002_01</t>
  </si>
  <si>
    <t xml:space="preserve">NC260220</t>
  </si>
  <si>
    <t xml:space="preserve">MORPC_OSU_003_01</t>
  </si>
  <si>
    <t xml:space="preserve">Dead (with Huyen)</t>
  </si>
  <si>
    <t xml:space="preserve">NC260218</t>
  </si>
  <si>
    <t xml:space="preserve">MORPC_OSU_004_01</t>
  </si>
  <si>
    <t xml:space="preserve">NC260215</t>
  </si>
  <si>
    <t xml:space="preserve">MORPC_OSU_005_01</t>
  </si>
  <si>
    <t xml:space="preserve">NC260214</t>
  </si>
  <si>
    <t xml:space="preserve">MORPC_OSU_006_01</t>
  </si>
  <si>
    <t xml:space="preserve">Cannot connect</t>
  </si>
  <si>
    <t xml:space="preserve">NC260216</t>
  </si>
  <si>
    <t xml:space="preserve">MORPC_OSU_007_01</t>
  </si>
  <si>
    <t xml:space="preserve">NC260219</t>
  </si>
  <si>
    <t xml:space="preserve">MORPC_OSU_008_01</t>
  </si>
  <si>
    <t xml:space="preserve">NC260222</t>
  </si>
  <si>
    <t xml:space="preserve">MORPC_OSU_009_01</t>
  </si>
  <si>
    <t xml:space="preserve">NC260221</t>
  </si>
  <si>
    <t xml:space="preserve">MORPC_OSU_010_01</t>
  </si>
  <si>
    <t xml:space="preserve">NC260223</t>
  </si>
  <si>
    <t xml:space="preserve">MORPC_OSU_011_01</t>
  </si>
  <si>
    <t xml:space="preserve">NC260224</t>
  </si>
  <si>
    <t xml:space="preserve">MORPC_OSU_012_01</t>
  </si>
  <si>
    <t xml:space="preserve">NC260225</t>
  </si>
  <si>
    <t xml:space="preserve">MORPC_OSU_013_01</t>
  </si>
  <si>
    <t xml:space="preserve">NC260208</t>
  </si>
  <si>
    <t xml:space="preserve">MORPC_OSU_014_01</t>
  </si>
  <si>
    <t xml:space="preserve">NC260200</t>
  </si>
  <si>
    <t xml:space="preserve">MORPC_OSU_015_01</t>
  </si>
  <si>
    <t xml:space="preserve">NC260197</t>
  </si>
  <si>
    <t xml:space="preserve">MORPC_OSU_016_01</t>
  </si>
  <si>
    <t xml:space="preserve">NC260202</t>
  </si>
  <si>
    <t xml:space="preserve">MORPC_OSU_017_01</t>
  </si>
  <si>
    <t xml:space="preserve">Verified working; channels not tracking </t>
  </si>
  <si>
    <t xml:space="preserve">NC260201</t>
  </si>
  <si>
    <t xml:space="preserve">MORPC_OSU_018_01</t>
  </si>
  <si>
    <t xml:space="preserve">NC260206</t>
  </si>
  <si>
    <t xml:space="preserve">MORPC_OSU_019_01</t>
  </si>
  <si>
    <t xml:space="preserve">NC260209</t>
  </si>
  <si>
    <t xml:space="preserve">MORPC_OSU_020_01</t>
  </si>
  <si>
    <t xml:space="preserve">NC260210</t>
  </si>
  <si>
    <t xml:space="preserve">MORPC_OSU_021_01</t>
  </si>
  <si>
    <t xml:space="preserve">NC260211</t>
  </si>
  <si>
    <t xml:space="preserve">MORPC_OSU_022_01</t>
  </si>
  <si>
    <t xml:space="preserve">NC260212</t>
  </si>
  <si>
    <t xml:space="preserve">MORPC_OSU_023_01</t>
  </si>
  <si>
    <t xml:space="preserve">NC260213</t>
  </si>
  <si>
    <t xml:space="preserve">MORPC_OSU_024</t>
  </si>
  <si>
    <t xml:space="preserve">MORPC_OSU_024_00</t>
  </si>
  <si>
    <t xml:space="preserve">MORPC_OSU_024_01</t>
  </si>
  <si>
    <t xml:space="preserve">NC260203</t>
  </si>
  <si>
    <t xml:space="preserve">MORPC_OSU_025</t>
  </si>
  <si>
    <t xml:space="preserve">MORPC_OSU_025_00</t>
  </si>
  <si>
    <t xml:space="preserve">MORPC_OSU_025_01</t>
  </si>
  <si>
    <t xml:space="preserve">NC260198</t>
  </si>
  <si>
    <t xml:space="preserve">MORPC_OSU_026</t>
  </si>
  <si>
    <t xml:space="preserve">MORPC_OSU_026_00</t>
  </si>
  <si>
    <t xml:space="preserve">MORPC_OSU_026_01</t>
  </si>
  <si>
    <t xml:space="preserve">NC260204</t>
  </si>
  <si>
    <t xml:space="preserve">MORPC_OSU_027</t>
  </si>
  <si>
    <t xml:space="preserve">MORPC_OSU_027_00</t>
  </si>
  <si>
    <t xml:space="preserve">MORPC_OSU_027_01</t>
  </si>
  <si>
    <t xml:space="preserve">MISSING - not with MORPC</t>
  </si>
  <si>
    <t xml:space="preserve">NC260205</t>
  </si>
  <si>
    <t xml:space="preserve">MORPC_OSU_028</t>
  </si>
  <si>
    <t xml:space="preserve">MORPC_OSU_028_00</t>
  </si>
  <si>
    <t xml:space="preserve">MORPC_OSU_028_01</t>
  </si>
  <si>
    <t xml:space="preserve">NOT WORKING</t>
  </si>
  <si>
    <t xml:space="preserve">NC260207</t>
  </si>
  <si>
    <t xml:space="preserve">MORPC_OSU_029</t>
  </si>
  <si>
    <t xml:space="preserve">MORPC_OSU_029_00</t>
  </si>
  <si>
    <t xml:space="preserve">MORPC_OSU_029_01</t>
  </si>
  <si>
    <t xml:space="preserve">NC260199</t>
  </si>
  <si>
    <t xml:space="preserve">MORPC_OSU_030</t>
  </si>
  <si>
    <t xml:space="preserve">MORPC_OSU_030_00</t>
  </si>
  <si>
    <t xml:space="preserve">MORPC_OSU_030_01</t>
  </si>
  <si>
    <t xml:space="preserve">NC260191</t>
  </si>
  <si>
    <t xml:space="preserve">MORPC_OSU_031</t>
  </si>
  <si>
    <t xml:space="preserve">MORPC_OSU_031_00</t>
  </si>
  <si>
    <t xml:space="preserve">MORPC_OSU_031_01</t>
  </si>
  <si>
    <t xml:space="preserve">NC260196</t>
  </si>
  <si>
    <t xml:space="preserve">MORPC_OSU_032</t>
  </si>
  <si>
    <t xml:space="preserve">MORPC_OSU_032_00</t>
  </si>
  <si>
    <t xml:space="preserve">MORPC_OSU_032_01</t>
  </si>
  <si>
    <t xml:space="preserve">Dead (with Andy)</t>
  </si>
  <si>
    <t xml:space="preserve">NC260195</t>
  </si>
  <si>
    <t xml:space="preserve">MORPC_OSU_033</t>
  </si>
  <si>
    <t xml:space="preserve">MORPC_OSU_033_00</t>
  </si>
  <si>
    <t xml:space="preserve">MORPC_OSU_033_01</t>
  </si>
  <si>
    <t xml:space="preserve">NC260194</t>
  </si>
  <si>
    <t xml:space="preserve">MORPC_OSU_034</t>
  </si>
  <si>
    <t xml:space="preserve">MORPC_OSU_034_00</t>
  </si>
  <si>
    <t xml:space="preserve">MORPC_OSU_034_01</t>
  </si>
  <si>
    <t xml:space="preserve">NC360193</t>
  </si>
  <si>
    <t xml:space="preserve">MORPC_OSU_035</t>
  </si>
  <si>
    <t xml:space="preserve">MORPC_OSU_035_00</t>
  </si>
  <si>
    <t xml:space="preserve">MORPC_OSU_035_01</t>
  </si>
  <si>
    <t xml:space="preserve">With Andy (?)</t>
  </si>
  <si>
    <t xml:space="preserve">NC260190</t>
  </si>
  <si>
    <t xml:space="preserve">MORPC_OSU_036</t>
  </si>
  <si>
    <t xml:space="preserve">MORPC_OSU_036_00</t>
  </si>
  <si>
    <t xml:space="preserve">MORPC_OSU_036_01</t>
  </si>
  <si>
    <t xml:space="preserve">NC260192</t>
  </si>
  <si>
    <t xml:space="preserve">MORPC_OSU_037</t>
  </si>
  <si>
    <t xml:space="preserve">MORPC_OSU_037_00</t>
  </si>
  <si>
    <t xml:space="preserve">MORPC_OSU_037_01</t>
  </si>
  <si>
    <t xml:space="preserve">Powers on; channels not tracking </t>
  </si>
  <si>
    <t xml:space="preserve">10:52:1C:41:B1:C6</t>
  </si>
  <si>
    <t xml:space="preserve">Not working - signal won't broadcast/connect</t>
  </si>
  <si>
    <t xml:space="preserve">10:52:1C:42:33:1E</t>
  </si>
  <si>
    <t xml:space="preserve">10:52:1C:42:1A:2B</t>
  </si>
  <si>
    <t xml:space="preserve">Not working - won't connect</t>
  </si>
  <si>
    <t xml:space="preserve">10:52:1C:42:19:97</t>
  </si>
  <si>
    <t xml:space="preserve">10:52:1C:4D:B0:F9</t>
  </si>
  <si>
    <t xml:space="preserve">Not working </t>
  </si>
  <si>
    <t xml:space="preserve">40:F5:20:17:3A:E3</t>
  </si>
  <si>
    <t xml:space="preserve">10:52:1C:41:EB:91</t>
  </si>
  <si>
    <t xml:space="preserve">Test Batch</t>
  </si>
  <si>
    <t xml:space="preserve">First Location</t>
  </si>
  <si>
    <t xml:space="preserve">Elevation</t>
  </si>
  <si>
    <t xml:space="preserve">Distance to Nearest Road</t>
  </si>
  <si>
    <t xml:space="preserve">Wifi Connection</t>
  </si>
  <si>
    <t xml:space="preserve">Coordinates</t>
  </si>
  <si>
    <t xml:space="preserve">Date Installed</t>
  </si>
  <si>
    <t xml:space="preserve">Date removed</t>
  </si>
  <si>
    <t xml:space="preserve">Who keeps this before 3/2024</t>
  </si>
  <si>
    <t xml:space="preserve">Transfered to MORPC</t>
  </si>
  <si>
    <t xml:space="preserve">Batch #</t>
  </si>
  <si>
    <t xml:space="preserve">MORPC deployment verification notes</t>
  </si>
  <si>
    <t xml:space="preserve">B1</t>
  </si>
  <si>
    <t xml:space="preserve">WMC</t>
  </si>
  <si>
    <t xml:space="preserve">WMC Outpatient Upper Arlington</t>
  </si>
  <si>
    <t xml:space="preserve">~7/2023</t>
  </si>
  <si>
    <t xml:space="preserve">Armita</t>
  </si>
  <si>
    <t xml:space="preserve">X</t>
  </si>
  <si>
    <t xml:space="preserve">10-52-1C-42-1D-D4</t>
  </si>
  <si>
    <t xml:space="preserve">Joseph </t>
  </si>
  <si>
    <t xml:space="preserve">≈ 5 ft </t>
  </si>
  <si>
    <t xml:space="preserve">≈ 21 m  </t>
  </si>
  <si>
    <t xml:space="preserve">738 Bryden Road, Columbus</t>
  </si>
  <si>
    <t xml:space="preserve">Huyen</t>
  </si>
  <si>
    <t xml:space="preserve">40-F5-20-17-2E-1B</t>
  </si>
  <si>
    <t xml:space="preserve">B3</t>
  </si>
  <si>
    <t xml:space="preserve">Summit St. </t>
  </si>
  <si>
    <t xml:space="preserve">≈ 10 ft</t>
  </si>
  <si>
    <t xml:space="preserve">≈ 11 m </t>
  </si>
  <si>
    <t xml:space="preserve">1364 Summit St</t>
  </si>
  <si>
    <t xml:space="preserve">10-52-1C-44-1B-5D</t>
  </si>
  <si>
    <t xml:space="preserve">Andy</t>
  </si>
  <si>
    <t xml:space="preserve">10-52-1C-44-EA-55</t>
  </si>
  <si>
    <t xml:space="preserve">Tal </t>
  </si>
  <si>
    <t xml:space="preserve">≈ 11 ft</t>
  </si>
  <si>
    <t xml:space="preserve">2770 Indianola Avenue</t>
  </si>
  <si>
    <t xml:space="preserve">40-F5-20-17-3A-E3</t>
  </si>
  <si>
    <t xml:space="preserve">PattyCake Bakery</t>
  </si>
  <si>
    <t xml:space="preserve">≈ 8 ft</t>
  </si>
  <si>
    <t xml:space="preserve">≈ 16.5 m </t>
  </si>
  <si>
    <t xml:space="preserve">3870 N High St, Columbus</t>
  </si>
  <si>
    <t xml:space="preserve">Mohammed</t>
  </si>
  <si>
    <t xml:space="preserve">10-52-1C-41-B1-C6</t>
  </si>
  <si>
    <t xml:space="preserve">Samantha </t>
  </si>
  <si>
    <t xml:space="preserve">≈ 6 ft</t>
  </si>
  <si>
    <t xml:space="preserve">≈ 25 m</t>
  </si>
  <si>
    <t xml:space="preserve">2682 Dayton Avenue</t>
  </si>
  <si>
    <t xml:space="preserve">10-52-1C-4D-D3-9D</t>
  </si>
  <si>
    <t xml:space="preserve">Wellington School</t>
  </si>
  <si>
    <t xml:space="preserve">≈ 40 m</t>
  </si>
  <si>
    <t xml:space="preserve">3650 Reed Rd, Columbus</t>
  </si>
  <si>
    <t xml:space="preserve">~11/10/2023</t>
  </si>
  <si>
    <t xml:space="preserve">10-52-1C-44-23-71</t>
  </si>
  <si>
    <t xml:space="preserve">Ohio State Outpatient Care New Albany</t>
  </si>
  <si>
    <t xml:space="preserve">10-52-1C-42-19-97</t>
  </si>
  <si>
    <t xml:space="preserve">WMC Outpatient Stoneridge </t>
  </si>
  <si>
    <t xml:space="preserve">10-52-1C-41-D6-FA</t>
  </si>
  <si>
    <t xml:space="preserve">Big Run Park</t>
  </si>
  <si>
    <t xml:space="preserve">≈ 3 ft </t>
  </si>
  <si>
    <t xml:space="preserve">4201 Clime Rd, Columbus, OH 43228</t>
  </si>
  <si>
    <t xml:space="preserve">10-52-1C-42-1A-2B</t>
  </si>
  <si>
    <t xml:space="preserve">Kroger (Hamilton Rd)</t>
  </si>
  <si>
    <t xml:space="preserve">≈ 60 m</t>
  </si>
  <si>
    <t xml:space="preserve">850 S Hamilton Rd, Whitehall</t>
  </si>
  <si>
    <t xml:space="preserve">~9/14/2021</t>
  </si>
  <si>
    <t xml:space="preserve">10-52-1C-41-9C-3A</t>
  </si>
  <si>
    <t xml:space="preserve">B2</t>
  </si>
  <si>
    <t xml:space="preserve">Kroger (Groveport Rd)</t>
  </si>
  <si>
    <t xml:space="preserve">≈ 80 m</t>
  </si>
  <si>
    <t xml:space="preserve">6011 Groveport Rd, Groveport</t>
  </si>
  <si>
    <t xml:space="preserve">10-52-1C-4C-83-81</t>
  </si>
  <si>
    <t xml:space="preserve">Kroger (W Broad St)</t>
  </si>
  <si>
    <t xml:space="preserve">≈ 100 m</t>
  </si>
  <si>
    <t xml:space="preserve">5800 W Broad St, Galloway</t>
  </si>
  <si>
    <t xml:space="preserve">40-F5-20-17-25-77</t>
  </si>
  <si>
    <t xml:space="preserve">B5</t>
  </si>
  <si>
    <t xml:space="preserve">Morgan</t>
  </si>
  <si>
    <t xml:space="preserve">≈ 11 ft </t>
  </si>
  <si>
    <t xml:space="preserve">≈ 17 m</t>
  </si>
  <si>
    <t xml:space="preserve">57 Olentangy St</t>
  </si>
  <si>
    <t xml:space="preserve">10-52-1C-41-67-81</t>
  </si>
  <si>
    <t xml:space="preserve">B4</t>
  </si>
  <si>
    <t xml:space="preserve">10-52-1C-42-19-28</t>
  </si>
  <si>
    <t xml:space="preserve">Kroger (E Broad St)</t>
  </si>
  <si>
    <t xml:space="preserve">7000 E Broad St, Columbus</t>
  </si>
  <si>
    <t xml:space="preserve">10-52-1C-44-D2-CA</t>
  </si>
  <si>
    <t xml:space="preserve">Luyu </t>
  </si>
  <si>
    <t xml:space="preserve">≈ 4th floor</t>
  </si>
  <si>
    <t xml:space="preserve">≈ 70/110 m</t>
  </si>
  <si>
    <t xml:space="preserve">3440 Olentangy River Road</t>
  </si>
  <si>
    <t xml:space="preserve">~7/2023 or earlier</t>
  </si>
  <si>
    <t xml:space="preserve">10-52-1C-42-33-1E</t>
  </si>
  <si>
    <t xml:space="preserve">Kroger (Stringtown)</t>
  </si>
  <si>
    <t xml:space="preserve">≈ 80 m </t>
  </si>
  <si>
    <t xml:space="preserve">2474 Stringtown Rd, Grove City</t>
  </si>
  <si>
    <t xml:space="preserve">Emerald Campus</t>
  </si>
  <si>
    <t xml:space="preserve">≈ 62 m</t>
  </si>
  <si>
    <t xml:space="preserve">5175 Emerald Pkwy, Dublin</t>
  </si>
  <si>
    <t xml:space="preserve">40-F5-20-16-EF-2C</t>
  </si>
  <si>
    <t xml:space="preserve">10-52-1C-4C-82-B4</t>
  </si>
  <si>
    <t xml:space="preserve">10-52-1C-41-91-A7</t>
  </si>
  <si>
    <t xml:space="preserve">Thomas Worthington</t>
  </si>
  <si>
    <t xml:space="preserve">≈ 5 ft</t>
  </si>
  <si>
    <t xml:space="preserve">≈ 140 m</t>
  </si>
  <si>
    <t xml:space="preserve"> 300 W Dublin Granville Rd, Worthington</t>
  </si>
  <si>
    <t xml:space="preserve">40-F5-20-17-11-D7</t>
  </si>
  <si>
    <t xml:space="preserve">10-52-1C-44-1E-F</t>
  </si>
  <si>
    <t xml:space="preserve">Dema</t>
  </si>
  <si>
    <t xml:space="preserve">Dema returned to Huyen, gave it to MORPC</t>
  </si>
  <si>
    <t xml:space="preserve">40-F5-20-17-D-2E</t>
  </si>
  <si>
    <t xml:space="preserve">NEON Tower</t>
  </si>
  <si>
    <t xml:space="preserve">2160 W Case Rd, Columbus</t>
  </si>
  <si>
    <t xml:space="preserve">~10/2021</t>
  </si>
  <si>
    <t xml:space="preserve">40-F5-20-17-6F-EB</t>
  </si>
  <si>
    <t xml:space="preserve">Big Walnut Maintenance Zone</t>
  </si>
  <si>
    <t xml:space="preserve">MISSING</t>
  </si>
  <si>
    <t xml:space="preserve">10-52-1C-4D-B0-F9</t>
  </si>
  <si>
    <t xml:space="preserve">Deman returned to Huyen</t>
  </si>
  <si>
    <t xml:space="preserve">10-52-1C-44-CA-5A</t>
  </si>
  <si>
    <t xml:space="preserve">Hard Rd Park</t>
  </si>
  <si>
    <t xml:space="preserve">1306 Hard Rd, Columbus</t>
  </si>
  <si>
    <t xml:space="preserve">40-F5-20-16-71-77</t>
  </si>
  <si>
    <t xml:space="preserve">10-52-1C-41-2E-F9</t>
  </si>
  <si>
    <t xml:space="preserve">Champions Golf Course</t>
  </si>
  <si>
    <t xml:space="preserve">3900 Westerville Rd</t>
  </si>
  <si>
    <t xml:space="preserve">40-F5-20-17-23-F4</t>
  </si>
  <si>
    <t xml:space="preserve">Andy House</t>
  </si>
  <si>
    <t xml:space="preserve">40-F5-20-1D-AD-6</t>
  </si>
  <si>
    <t xml:space="preserve">Ohio State Outpatient Care East</t>
  </si>
  <si>
    <t xml:space="preserve">10-52-1C-41-EB-91</t>
  </si>
  <si>
    <t xml:space="preserve">Ohio State Eye and Ear Institute</t>
  </si>
  <si>
    <t xml:space="preserve">10-52-1C-44-87-EE</t>
  </si>
  <si>
    <t xml:space="preserve">Andy (MISSING)</t>
  </si>
  <si>
    <t xml:space="preserve">40-F5-20-17-26-9</t>
  </si>
  <si>
    <t xml:space="preserve">10-52-1C-4D-88-43</t>
  </si>
  <si>
    <t xml:space="preserve">Ashleigh Bope (Reynoldsberg)</t>
  </si>
  <si>
    <t xml:space="preserve">≈ 65 m</t>
  </si>
  <si>
    <t xml:space="preserve">2122 Creekview Ct</t>
  </si>
</sst>
</file>

<file path=xl/styles.xml><?xml version="1.0" encoding="utf-8"?>
<styleSheet xmlns="http://schemas.openxmlformats.org/spreadsheetml/2006/main">
  <numFmts count="10">
    <numFmt numFmtId="164" formatCode="General"/>
    <numFmt numFmtId="165" formatCode="m/d/yyyy"/>
    <numFmt numFmtId="166" formatCode="mm/dd/yy"/>
    <numFmt numFmtId="167" formatCode="0"/>
    <numFmt numFmtId="168" formatCode="0.000000"/>
    <numFmt numFmtId="169" formatCode="_(* #,##0.00_);_(* \(#,##0.00\);_(* \-??_);_(@_)"/>
    <numFmt numFmtId="170" formatCode="0.00"/>
    <numFmt numFmtId="171" formatCode="#,##0.00"/>
    <numFmt numFmtId="172" formatCode="General"/>
    <numFmt numFmtId="173" formatCode="0%"/>
  </numFmts>
  <fonts count="66">
    <font>
      <sz val="10"/>
      <color rgb="FF000000"/>
      <name val="Arial"/>
      <family val="0"/>
      <charset val="1"/>
    </font>
    <font>
      <sz val="10"/>
      <name val="Arial"/>
      <family val="0"/>
    </font>
    <font>
      <sz val="10"/>
      <name val="Arial"/>
      <family val="0"/>
    </font>
    <font>
      <sz val="10"/>
      <name val="Arial"/>
      <family val="0"/>
    </font>
    <font>
      <b val="true"/>
      <sz val="10"/>
      <color theme="1"/>
      <name val="Arial"/>
      <family val="2"/>
      <charset val="1"/>
    </font>
    <font>
      <sz val="10"/>
      <color theme="1"/>
      <name val="Arial"/>
      <family val="2"/>
      <charset val="1"/>
    </font>
    <font>
      <sz val="10"/>
      <color rgb="FF000000"/>
      <name val="Arial"/>
      <family val="2"/>
      <charset val="1"/>
    </font>
    <font>
      <sz val="11"/>
      <color theme="1"/>
      <name val="Calibri"/>
      <family val="2"/>
      <charset val="1"/>
    </font>
    <font>
      <sz val="11"/>
      <color rgb="FF000000"/>
      <name val="Calibri"/>
      <family val="2"/>
      <charset val="1"/>
    </font>
    <font>
      <b val="true"/>
      <sz val="12"/>
      <color rgb="FFFFFFFF"/>
      <name val="Calibri"/>
      <family val="2"/>
      <charset val="1"/>
    </font>
    <font>
      <b val="true"/>
      <sz val="11"/>
      <color theme="0"/>
      <name val="Arial"/>
      <family val="2"/>
      <charset val="1"/>
    </font>
    <font>
      <b val="true"/>
      <sz val="14"/>
      <color rgb="FFFFFFFF"/>
      <name val="Calibri"/>
      <family val="2"/>
      <charset val="1"/>
    </font>
    <font>
      <b val="true"/>
      <sz val="10"/>
      <color rgb="FF000000"/>
      <name val="Arial"/>
      <family val="2"/>
      <charset val="1"/>
    </font>
    <font>
      <strike val="true"/>
      <sz val="11"/>
      <color rgb="FF000000"/>
      <name val="Calibri"/>
      <family val="2"/>
      <charset val="1"/>
    </font>
    <font>
      <strike val="true"/>
      <sz val="10"/>
      <color theme="1"/>
      <name val="Arial"/>
      <family val="2"/>
      <charset val="1"/>
    </font>
    <font>
      <sz val="11"/>
      <color rgb="FF000000"/>
      <name val="Aptos Narrow"/>
      <family val="2"/>
      <charset val="1"/>
    </font>
    <font>
      <sz val="11"/>
      <color rgb="FF000000"/>
      <name val="Century Gothic"/>
      <family val="2"/>
      <charset val="1"/>
    </font>
    <font>
      <strike val="true"/>
      <sz val="10"/>
      <color rgb="FF000000"/>
      <name val="Arial"/>
      <family val="0"/>
      <charset val="1"/>
    </font>
    <font>
      <sz val="11"/>
      <color rgb="FF242424"/>
      <name val="Aptos Narrow"/>
      <family val="2"/>
      <charset val="1"/>
    </font>
    <font>
      <sz val="10"/>
      <color theme="1"/>
      <name val="Arial"/>
      <family val="0"/>
      <charset val="1"/>
    </font>
    <font>
      <b val="true"/>
      <sz val="10"/>
      <color rgb="FFFFFFFF"/>
      <name val="Arial"/>
      <family val="2"/>
      <charset val="1"/>
    </font>
    <font>
      <b val="true"/>
      <sz val="11"/>
      <color rgb="FFFFFFFF"/>
      <name val="Arial"/>
      <family val="2"/>
      <charset val="1"/>
    </font>
    <font>
      <b val="true"/>
      <sz val="10"/>
      <color rgb="FFFFFFFF"/>
      <name val="Arial"/>
      <family val="0"/>
      <charset val="1"/>
    </font>
    <font>
      <sz val="10"/>
      <color rgb="FFFFFFFF"/>
      <name val="Arial"/>
      <family val="2"/>
      <charset val="1"/>
    </font>
    <font>
      <strike val="true"/>
      <sz val="10"/>
      <color rgb="FF222222"/>
      <name val="Arial"/>
      <family val="2"/>
      <charset val="1"/>
    </font>
    <font>
      <strike val="true"/>
      <u val="single"/>
      <sz val="10"/>
      <color theme="10"/>
      <name val="Arial"/>
      <family val="2"/>
      <charset val="1"/>
    </font>
    <font>
      <u val="single"/>
      <sz val="10"/>
      <color theme="10"/>
      <name val="Arial"/>
      <family val="2"/>
      <charset val="1"/>
    </font>
    <font>
      <strike val="true"/>
      <sz val="10"/>
      <color theme="1"/>
      <name val="Arial"/>
      <family val="0"/>
      <charset val="1"/>
    </font>
    <font>
      <strike val="true"/>
      <sz val="10"/>
      <color rgb="FF000000"/>
      <name val="Arial"/>
      <family val="2"/>
      <charset val="1"/>
    </font>
    <font>
      <strike val="true"/>
      <sz val="10"/>
      <color rgb="FF000000"/>
      <name val="Roboto"/>
      <family val="0"/>
      <charset val="1"/>
    </font>
    <font>
      <b val="true"/>
      <strike val="true"/>
      <sz val="10"/>
      <color rgb="FF000000"/>
      <name val="Arial"/>
      <family val="2"/>
      <charset val="1"/>
    </font>
    <font>
      <strike val="true"/>
      <sz val="8"/>
      <color rgb="FF222222"/>
      <name val="Arial"/>
      <family val="2"/>
      <charset val="1"/>
    </font>
    <font>
      <strike val="true"/>
      <sz val="8"/>
      <color rgb="FF000000"/>
      <name val="Arial"/>
      <family val="2"/>
      <charset val="1"/>
    </font>
    <font>
      <strike val="true"/>
      <sz val="8"/>
      <color theme="1"/>
      <name val="Arial"/>
      <family val="2"/>
      <charset val="1"/>
    </font>
    <font>
      <sz val="10"/>
      <color rgb="FF202124"/>
      <name val="Arial"/>
      <family val="2"/>
      <charset val="1"/>
    </font>
    <font>
      <b val="true"/>
      <sz val="10"/>
      <color rgb="FF000000"/>
      <name val="Arial"/>
      <family val="0"/>
      <charset val="1"/>
    </font>
    <font>
      <sz val="8"/>
      <color rgb="FF000000"/>
      <name val="Arial"/>
      <family val="0"/>
      <charset val="1"/>
    </font>
    <font>
      <sz val="10"/>
      <color rgb="FF000000"/>
      <name val="Roboto"/>
      <family val="0"/>
      <charset val="1"/>
    </font>
    <font>
      <sz val="11"/>
      <color theme="1"/>
      <name val="Arial"/>
      <family val="0"/>
      <charset val="1"/>
    </font>
    <font>
      <sz val="10.5"/>
      <color rgb="FF16233A"/>
      <name val="Segoe UI"/>
      <family val="2"/>
      <charset val="1"/>
    </font>
    <font>
      <b val="true"/>
      <sz val="10"/>
      <color theme="0"/>
      <name val="Arial"/>
      <family val="2"/>
      <charset val="1"/>
    </font>
    <font>
      <sz val="10"/>
      <color theme="0"/>
      <name val="Arial"/>
      <family val="2"/>
      <charset val="1"/>
    </font>
    <font>
      <sz val="10"/>
      <name val="Arial"/>
      <family val="2"/>
    </font>
    <font>
      <sz val="10"/>
      <color rgb="FFFF0000"/>
      <name val="Arial"/>
      <family val="2"/>
      <charset val="1"/>
    </font>
    <font>
      <sz val="10"/>
      <color rgb="FF1F1F1F"/>
      <name val="Arial"/>
      <family val="2"/>
      <charset val="1"/>
    </font>
    <font>
      <sz val="11"/>
      <color rgb="FF242424"/>
      <name val="Aptos Narrow"/>
      <family val="0"/>
      <charset val="1"/>
    </font>
    <font>
      <sz val="11"/>
      <color rgb="FF000000"/>
      <name val="Arial"/>
      <family val="0"/>
      <charset val="1"/>
    </font>
    <font>
      <sz val="10"/>
      <color rgb="FFFF0000"/>
      <name val="Arial"/>
      <family val="0"/>
      <charset val="1"/>
    </font>
    <font>
      <sz val="11"/>
      <color rgb="FF444444"/>
      <name val="Calibri"/>
      <family val="2"/>
      <charset val="1"/>
    </font>
    <font>
      <sz val="10.5"/>
      <color rgb="FF000000"/>
      <name val="Calibri"/>
      <family val="2"/>
      <charset val="1"/>
    </font>
    <font>
      <sz val="11"/>
      <color theme="1"/>
      <name val="Arial"/>
      <family val="2"/>
      <charset val="1"/>
    </font>
    <font>
      <u val="single"/>
      <sz val="10"/>
      <color rgb="FF0000FF"/>
      <name val="Arial"/>
      <family val="2"/>
      <charset val="1"/>
    </font>
    <font>
      <sz val="11"/>
      <color rgb="FF000000"/>
      <name val="Arial"/>
      <family val="2"/>
      <charset val="1"/>
    </font>
    <font>
      <u val="single"/>
      <sz val="11"/>
      <color rgb="FF0563C1"/>
      <name val="Arial"/>
      <family val="2"/>
      <charset val="1"/>
    </font>
    <font>
      <sz val="11"/>
      <color rgb="FF333333"/>
      <name val="Arial"/>
      <family val="2"/>
      <charset val="1"/>
    </font>
    <font>
      <sz val="11"/>
      <color rgb="FF222222"/>
      <name val="Arial"/>
      <family val="2"/>
      <charset val="1"/>
    </font>
    <font>
      <u val="single"/>
      <sz val="11"/>
      <color theme="10"/>
      <name val="Arial"/>
      <family val="2"/>
      <charset val="1"/>
    </font>
    <font>
      <b val="true"/>
      <sz val="12"/>
      <color rgb="FF000000"/>
      <name val="Arial"/>
      <family val="2"/>
      <charset val="1"/>
    </font>
    <font>
      <sz val="9"/>
      <color rgb="FF000000"/>
      <name val="Arial"/>
      <family val="2"/>
      <charset val="1"/>
    </font>
    <font>
      <sz val="12"/>
      <color rgb="FF000000"/>
      <name val="Aptos"/>
      <family val="2"/>
      <charset val="1"/>
    </font>
    <font>
      <vertAlign val="superscript"/>
      <sz val="10"/>
      <color rgb="FF000000"/>
      <name val="Aptos"/>
      <family val="2"/>
      <charset val="1"/>
    </font>
    <font>
      <sz val="10"/>
      <color rgb="FF000000"/>
      <name val="Aptos"/>
      <family val="2"/>
      <charset val="1"/>
    </font>
    <font>
      <sz val="12"/>
      <color rgb="FF444444"/>
      <name val="Arial"/>
      <family val="1"/>
      <charset val="1"/>
    </font>
    <font>
      <sz val="12"/>
      <color rgb="FF000000"/>
      <name val="Aptos"/>
      <family val="0"/>
      <charset val="1"/>
    </font>
    <font>
      <b val="true"/>
      <sz val="11"/>
      <color theme="1"/>
      <name val="Arial"/>
      <family val="2"/>
      <charset val="1"/>
    </font>
    <font>
      <b val="true"/>
      <i val="true"/>
      <sz val="10"/>
      <color rgb="FFF3F3F3"/>
      <name val="Arial"/>
      <family val="2"/>
      <charset val="1"/>
    </font>
  </fonts>
  <fills count="31">
    <fill>
      <patternFill patternType="none"/>
    </fill>
    <fill>
      <patternFill patternType="gray125"/>
    </fill>
    <fill>
      <patternFill patternType="solid">
        <fgColor theme="0" tint="-0.25"/>
        <bgColor rgb="FFB7E1CD"/>
      </patternFill>
    </fill>
    <fill>
      <patternFill patternType="solid">
        <fgColor rgb="FF00FF00"/>
        <bgColor rgb="FF00B050"/>
      </patternFill>
    </fill>
    <fill>
      <patternFill patternType="solid">
        <fgColor rgb="FF00FFFF"/>
        <bgColor rgb="FF00FFFF"/>
      </patternFill>
    </fill>
    <fill>
      <patternFill patternType="solid">
        <fgColor rgb="FFFF9900"/>
        <bgColor rgb="FFFBBC04"/>
      </patternFill>
    </fill>
    <fill>
      <patternFill patternType="solid">
        <fgColor rgb="FFFF0000"/>
        <bgColor rgb="FFCC0000"/>
      </patternFill>
    </fill>
    <fill>
      <patternFill patternType="solid">
        <fgColor rgb="FFFF00FF"/>
        <bgColor rgb="FFE920F8"/>
      </patternFill>
    </fill>
    <fill>
      <patternFill patternType="solid">
        <fgColor rgb="FF000000"/>
        <bgColor rgb="FF1F1F1F"/>
      </patternFill>
    </fill>
    <fill>
      <patternFill patternType="solid">
        <fgColor rgb="FF00B0F0"/>
        <bgColor rgb="FF46BDC6"/>
      </patternFill>
    </fill>
    <fill>
      <patternFill patternType="solid">
        <fgColor theme="6"/>
        <bgColor rgb="FFFFC000"/>
      </patternFill>
    </fill>
    <fill>
      <patternFill patternType="solid">
        <fgColor rgb="FFE920F8"/>
        <bgColor rgb="FFFF00FF"/>
      </patternFill>
    </fill>
    <fill>
      <patternFill patternType="solid">
        <fgColor theme="8"/>
        <bgColor rgb="FFFF9900"/>
      </patternFill>
    </fill>
    <fill>
      <patternFill patternType="solid">
        <fgColor theme="0"/>
        <bgColor rgb="FFF3F3F3"/>
      </patternFill>
    </fill>
    <fill>
      <patternFill patternType="solid">
        <fgColor rgb="FF92D050"/>
        <bgColor rgb="FFBFBFBF"/>
      </patternFill>
    </fill>
    <fill>
      <patternFill patternType="solid">
        <fgColor rgb="FFFFFF00"/>
        <bgColor rgb="FFFFC000"/>
      </patternFill>
    </fill>
    <fill>
      <patternFill patternType="solid">
        <fgColor theme="5"/>
        <bgColor rgb="FFFF6D01"/>
      </patternFill>
    </fill>
    <fill>
      <patternFill patternType="solid">
        <fgColor theme="7" tint="0.7999"/>
        <bgColor rgb="FFF3F3F3"/>
      </patternFill>
    </fill>
    <fill>
      <patternFill patternType="solid">
        <fgColor rgb="FF222222"/>
        <bgColor rgb="FF202124"/>
      </patternFill>
    </fill>
    <fill>
      <patternFill patternType="solid">
        <fgColor rgb="FFCC0000"/>
        <bgColor rgb="FF9C0006"/>
      </patternFill>
    </fill>
    <fill>
      <patternFill patternType="solid">
        <fgColor theme="4"/>
        <bgColor rgb="FF8E7CC3"/>
      </patternFill>
    </fill>
    <fill>
      <patternFill patternType="solid">
        <fgColor rgb="FF00B050"/>
        <bgColor rgb="FF008080"/>
      </patternFill>
    </fill>
    <fill>
      <patternFill patternType="solid">
        <fgColor rgb="FFEAD1DC"/>
        <bgColor rgb="FFF4C7C3"/>
      </patternFill>
    </fill>
    <fill>
      <patternFill patternType="solid">
        <fgColor theme="6" tint="0.7999"/>
        <bgColor rgb="FFFCE5CD"/>
      </patternFill>
    </fill>
    <fill>
      <patternFill patternType="solid">
        <fgColor theme="5" tint="0.5999"/>
        <bgColor rgb="FFF4C7C3"/>
      </patternFill>
    </fill>
    <fill>
      <patternFill patternType="solid">
        <fgColor rgb="FFDD7E6B"/>
        <bgColor rgb="FFFF6D01"/>
      </patternFill>
    </fill>
    <fill>
      <patternFill patternType="solid">
        <fgColor theme="9"/>
        <bgColor rgb="FF00B0F0"/>
      </patternFill>
    </fill>
    <fill>
      <patternFill patternType="solid">
        <fgColor rgb="FF434343"/>
        <bgColor rgb="FF444444"/>
      </patternFill>
    </fill>
    <fill>
      <patternFill patternType="solid">
        <fgColor rgb="FFFCE5CD"/>
        <bgColor rgb="FFFCE8B2"/>
      </patternFill>
    </fill>
    <fill>
      <patternFill patternType="solid">
        <fgColor rgb="FF8E7CC3"/>
        <bgColor rgb="FF969696"/>
      </patternFill>
    </fill>
    <fill>
      <patternFill patternType="solid">
        <fgColor rgb="FFFFC000"/>
        <bgColor rgb="FFFBBC04"/>
      </patternFill>
    </fill>
  </fills>
  <borders count="16">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thin">
        <color rgb="FF434343"/>
      </left>
      <right style="thin">
        <color rgb="FF434343"/>
      </right>
      <top style="thin">
        <color rgb="FF434343"/>
      </top>
      <bottom style="thin">
        <color rgb="FF434343"/>
      </bottom>
      <diagonal/>
    </border>
    <border diagonalUp="false" diagonalDown="false">
      <left style="thin">
        <color rgb="FF434343"/>
      </left>
      <right/>
      <top style="thin">
        <color rgb="FF434343"/>
      </top>
      <bottom style="thin">
        <color rgb="FF434343"/>
      </bottom>
      <diagonal/>
    </border>
    <border diagonalUp="false" diagonalDown="false">
      <left style="thin">
        <color rgb="FF434343"/>
      </left>
      <right style="thin">
        <color rgb="FF434343"/>
      </right>
      <top style="thin">
        <color rgb="FF434343"/>
      </top>
      <bottom/>
      <diagonal/>
    </border>
    <border diagonalUp="false" diagonalDown="false">
      <left style="thin">
        <color rgb="FF434343"/>
      </left>
      <right/>
      <top style="thin">
        <color rgb="FF434343"/>
      </top>
      <bottom/>
      <diagonal/>
    </border>
    <border diagonalUp="false" diagonalDown="false">
      <left style="thin"/>
      <right style="thin"/>
      <top/>
      <bottom/>
      <diagonal/>
    </border>
    <border diagonalUp="false" diagonalDown="false">
      <left style="thin"/>
      <right/>
      <top style="thin"/>
      <bottom style="thin"/>
      <diagonal/>
    </border>
    <border diagonalUp="false" diagonalDown="false">
      <left style="thin"/>
      <right/>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thin"/>
      <top style="thin"/>
      <bottom/>
      <diagonal/>
    </border>
    <border diagonalUp="false" diagonalDown="false">
      <left/>
      <right/>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6" fillId="0" borderId="0" applyFont="true" applyBorder="false" applyAlignment="true" applyProtection="false">
      <alignment horizontal="general" vertical="bottom" textRotation="0" wrapText="false" indent="0" shrinkToFit="false"/>
    </xf>
  </cellStyleXfs>
  <cellXfs count="35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4" fontId="8" fillId="7" borderId="0" xfId="0" applyFont="true" applyBorder="false" applyAlignment="true" applyProtection="false">
      <alignment horizontal="left" vertical="bottom" textRotation="0" wrapText="false" indent="0" shrinkToFit="false"/>
      <protection locked="true" hidden="false"/>
    </xf>
    <xf numFmtId="164" fontId="0" fillId="0" borderId="1" xfId="0" applyFont="false" applyBorder="true" applyAlignment="true" applyProtection="false">
      <alignment horizontal="left"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9" fillId="8" borderId="1" xfId="0" applyFont="true" applyBorder="true" applyAlignment="true" applyProtection="false">
      <alignment horizontal="left" vertical="bottom" textRotation="0" wrapText="false" indent="0" shrinkToFit="false"/>
      <protection locked="true" hidden="false"/>
    </xf>
    <xf numFmtId="164" fontId="9" fillId="8" borderId="1" xfId="0" applyFont="true" applyBorder="true" applyAlignment="false" applyProtection="false">
      <alignment horizontal="general" vertical="bottom" textRotation="0" wrapText="false" indent="0" shrinkToFit="false"/>
      <protection locked="true" hidden="false"/>
    </xf>
    <xf numFmtId="164" fontId="9" fillId="8" borderId="1" xfId="0" applyFont="true" applyBorder="true" applyAlignment="true" applyProtection="false">
      <alignment horizontal="general" vertical="bottom" textRotation="0" wrapText="true" indent="0" shrinkToFit="false"/>
      <protection locked="true" hidden="false"/>
    </xf>
    <xf numFmtId="164" fontId="10" fillId="8" borderId="1" xfId="0" applyFont="true" applyBorder="true" applyAlignment="false" applyProtection="false">
      <alignment horizontal="general" vertical="bottom" textRotation="0" wrapText="false" indent="0" shrinkToFit="false"/>
      <protection locked="true" hidden="false"/>
    </xf>
    <xf numFmtId="164" fontId="5" fillId="8" borderId="1" xfId="0" applyFont="true" applyBorder="true" applyAlignment="false" applyProtection="false">
      <alignment horizontal="general" vertical="bottom" textRotation="0" wrapText="false" indent="0" shrinkToFit="false"/>
      <protection locked="true" hidden="false"/>
    </xf>
    <xf numFmtId="164" fontId="11" fillId="8"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right"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5" fillId="9" borderId="1" xfId="0" applyFont="true" applyBorder="true" applyAlignment="false" applyProtection="false">
      <alignment horizontal="general" vertical="bottom" textRotation="0" wrapText="false" indent="0" shrinkToFit="false"/>
      <protection locked="true" hidden="false"/>
    </xf>
    <xf numFmtId="164" fontId="8" fillId="1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left"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true" applyProtection="false">
      <alignment horizontal="right"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5" fillId="11" borderId="1" xfId="0" applyFont="true" applyBorder="true" applyAlignment="false" applyProtection="false">
      <alignment horizontal="general" vertical="bottom" textRotation="0" wrapText="false" indent="0" shrinkToFit="false"/>
      <protection locked="true" hidden="false"/>
    </xf>
    <xf numFmtId="164" fontId="5" fillId="12"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5" fillId="13" borderId="1" xfId="0" applyFont="true" applyBorder="true" applyAlignment="false" applyProtection="false">
      <alignment horizontal="general" vertical="bottom" textRotation="0" wrapText="false" indent="0" shrinkToFit="false"/>
      <protection locked="true" hidden="false"/>
    </xf>
    <xf numFmtId="164" fontId="5" fillId="14" borderId="1" xfId="0" applyFont="true" applyBorder="true" applyAlignment="false" applyProtection="false">
      <alignment horizontal="general" vertical="bottom" textRotation="0" wrapText="false" indent="0" shrinkToFit="false"/>
      <protection locked="true" hidden="false"/>
    </xf>
    <xf numFmtId="164" fontId="5" fillId="1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8" fillId="15" borderId="1" xfId="0" applyFont="true" applyBorder="true" applyAlignment="true" applyProtection="false">
      <alignment horizontal="general" vertical="bottom" textRotation="0" wrapText="true" indent="0" shrinkToFit="false"/>
      <protection locked="true" hidden="false"/>
    </xf>
    <xf numFmtId="165" fontId="8" fillId="15" borderId="1" xfId="0" applyFont="true" applyBorder="true" applyAlignment="false" applyProtection="false">
      <alignment horizontal="general" vertical="bottom" textRotation="0" wrapText="false" indent="0" shrinkToFit="false"/>
      <protection locked="true" hidden="false"/>
    </xf>
    <xf numFmtId="164" fontId="5" fillId="15" borderId="1" xfId="0" applyFont="true" applyBorder="true" applyAlignment="false" applyProtection="false">
      <alignment horizontal="general" vertical="bottom" textRotation="0" wrapText="false" indent="0" shrinkToFit="false"/>
      <protection locked="true" hidden="false"/>
    </xf>
    <xf numFmtId="164" fontId="5" fillId="15" borderId="1" xfId="0" applyFont="true" applyBorder="true" applyAlignment="true" applyProtection="false">
      <alignment horizontal="general" vertical="bottom" textRotation="0" wrapText="tru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0" fillId="16" borderId="1" xfId="0" applyFont="true" applyBorder="true" applyAlignment="true" applyProtection="false">
      <alignment horizontal="left" vertical="bottom" textRotation="0" wrapText="false" indent="0" shrinkToFit="false"/>
      <protection locked="true" hidden="false"/>
    </xf>
    <xf numFmtId="164" fontId="8" fillId="16" borderId="1" xfId="0" applyFont="true" applyBorder="true" applyAlignment="false" applyProtection="false">
      <alignment horizontal="general" vertical="bottom" textRotation="0" wrapText="false" indent="0" shrinkToFit="false"/>
      <protection locked="true" hidden="false"/>
    </xf>
    <xf numFmtId="164" fontId="0" fillId="16" borderId="1" xfId="0" applyFont="true" applyBorder="true" applyAlignment="false" applyProtection="false">
      <alignment horizontal="general" vertical="bottom" textRotation="0" wrapText="false" indent="0" shrinkToFit="false"/>
      <protection locked="true" hidden="false"/>
    </xf>
    <xf numFmtId="165" fontId="0" fillId="16" borderId="1" xfId="0" applyFont="fals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64" fontId="0" fillId="6" borderId="1" xfId="0" applyFont="true" applyBorder="true" applyAlignment="true" applyProtection="false">
      <alignment horizontal="left" vertical="bottom" textRotation="0" wrapText="fals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65" fontId="0" fillId="6" borderId="1" xfId="0" applyFont="fals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0" fillId="13" borderId="1" xfId="0" applyFont="true" applyBorder="true" applyAlignment="true" applyProtection="false">
      <alignment horizontal="left" vertical="bottom" textRotation="0" wrapText="false" indent="0" shrinkToFit="false"/>
      <protection locked="true" hidden="false"/>
    </xf>
    <xf numFmtId="164" fontId="0" fillId="0" borderId="2" xfId="0" applyFont="true" applyBorder="true" applyAlignment="true" applyProtection="false">
      <alignment horizontal="left"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8" fillId="13" borderId="2" xfId="0" applyFont="tru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false" applyProtection="false">
      <alignment horizontal="general" vertical="bottom" textRotation="0" wrapText="false" indent="0" shrinkToFit="false"/>
      <protection locked="true" hidden="false"/>
    </xf>
    <xf numFmtId="164" fontId="0" fillId="15" borderId="1" xfId="0" applyFont="tru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4" xfId="0" applyFont="true" applyBorder="true" applyAlignment="false" applyProtection="false">
      <alignment horizontal="general" vertical="bottom" textRotation="0" wrapText="false" indent="0" shrinkToFit="false"/>
      <protection locked="true" hidden="false"/>
    </xf>
    <xf numFmtId="164" fontId="0" fillId="6" borderId="3" xfId="0" applyFont="true" applyBorder="true" applyAlignment="false" applyProtection="false">
      <alignment horizontal="general" vertical="bottom" textRotation="0" wrapText="false" indent="0" shrinkToFit="false"/>
      <protection locked="true" hidden="false"/>
    </xf>
    <xf numFmtId="164" fontId="18" fillId="6" borderId="1"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8" borderId="5" xfId="0" applyFont="true" applyBorder="true" applyAlignment="true" applyProtection="false">
      <alignment horizontal="general" vertical="center" textRotation="0" wrapText="false" indent="0" shrinkToFit="false"/>
      <protection locked="true" hidden="false"/>
    </xf>
    <xf numFmtId="164" fontId="21" fillId="8" borderId="5" xfId="0" applyFont="true" applyBorder="true" applyAlignment="true" applyProtection="false">
      <alignment horizontal="general" vertical="center" textRotation="0" wrapText="false" indent="0" shrinkToFit="false"/>
      <protection locked="true" hidden="false"/>
    </xf>
    <xf numFmtId="164" fontId="20" fillId="8" borderId="5" xfId="0" applyFont="true" applyBorder="true" applyAlignment="true" applyProtection="false">
      <alignment horizontal="center" vertical="center" textRotation="0" wrapText="false" indent="0" shrinkToFit="false"/>
      <protection locked="true" hidden="false"/>
    </xf>
    <xf numFmtId="164" fontId="22" fillId="8" borderId="5" xfId="0" applyFont="true" applyBorder="true" applyAlignment="true" applyProtection="false">
      <alignment horizontal="center" vertical="center" textRotation="0" wrapText="true" indent="0" shrinkToFit="false"/>
      <protection locked="true" hidden="false"/>
    </xf>
    <xf numFmtId="164" fontId="20" fillId="8" borderId="5" xfId="0" applyFont="true" applyBorder="true" applyAlignment="true" applyProtection="false">
      <alignment horizontal="center" vertical="center" textRotation="0" wrapText="true" indent="0" shrinkToFit="false"/>
      <protection locked="true" hidden="false"/>
    </xf>
    <xf numFmtId="164" fontId="20" fillId="8" borderId="0" xfId="0" applyFont="true" applyBorder="false" applyAlignment="true" applyProtection="false">
      <alignment horizontal="general" vertical="center" textRotation="0" wrapText="true" indent="0" shrinkToFit="false"/>
      <protection locked="true" hidden="false"/>
    </xf>
    <xf numFmtId="164" fontId="23" fillId="13" borderId="0" xfId="0" applyFont="true" applyBorder="false" applyAlignment="false" applyProtection="false">
      <alignment horizontal="general" vertical="bottom" textRotation="0" wrapText="false" indent="0" shrinkToFit="false"/>
      <protection locked="true" hidden="false"/>
    </xf>
    <xf numFmtId="164" fontId="14" fillId="0" borderId="5" xfId="0" applyFont="true" applyBorder="true" applyAlignment="false" applyProtection="false">
      <alignment horizontal="general" vertical="bottom" textRotation="0" wrapText="false" indent="0" shrinkToFit="false"/>
      <protection locked="true" hidden="false"/>
    </xf>
    <xf numFmtId="164" fontId="24" fillId="13" borderId="5" xfId="0" applyFont="true" applyBorder="true" applyAlignment="true" applyProtection="false">
      <alignment horizontal="left" vertical="bottom" textRotation="0" wrapText="false" indent="0" shrinkToFit="false"/>
      <protection locked="true" hidden="false"/>
    </xf>
    <xf numFmtId="164" fontId="14" fillId="0" borderId="5" xfId="0" applyFont="true" applyBorder="true" applyAlignment="true" applyProtection="false">
      <alignment horizontal="center" vertical="bottom" textRotation="0" wrapText="false" indent="0" shrinkToFit="false"/>
      <protection locked="true" hidden="false"/>
    </xf>
    <xf numFmtId="164" fontId="25" fillId="0" borderId="5" xfId="20" applyFont="true" applyBorder="true" applyAlignment="true" applyProtection="true">
      <alignment horizontal="general" vertical="bottom" textRotation="0" wrapText="false" indent="0" shrinkToFit="false"/>
      <protection locked="true" hidden="false"/>
    </xf>
    <xf numFmtId="164" fontId="27" fillId="0" borderId="5" xfId="0" applyFont="true" applyBorder="true" applyAlignment="false" applyProtection="false">
      <alignment horizontal="general" vertical="bottom" textRotation="0" wrapText="false" indent="0" shrinkToFit="false"/>
      <protection locked="true" hidden="false"/>
    </xf>
    <xf numFmtId="164" fontId="5" fillId="0" borderId="6"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5" fillId="0" borderId="5" xfId="0" applyFont="true" applyBorder="true" applyAlignment="false" applyProtection="false">
      <alignment horizontal="general" vertical="bottom" textRotation="0" wrapText="false" indent="0" shrinkToFit="false"/>
      <protection locked="true" hidden="false"/>
    </xf>
    <xf numFmtId="164" fontId="6" fillId="0" borderId="5" xfId="0" applyFont="true" applyBorder="true" applyAlignment="false" applyProtection="false">
      <alignment horizontal="general" vertical="bottom" textRotation="0" wrapText="false" indent="0" shrinkToFit="false"/>
      <protection locked="true" hidden="false"/>
    </xf>
    <xf numFmtId="164" fontId="5" fillId="0" borderId="5" xfId="0" applyFont="true" applyBorder="true" applyAlignment="true" applyProtection="false">
      <alignment horizontal="center" vertical="bottom" textRotation="0" wrapText="false" indent="0" shrinkToFit="false"/>
      <protection locked="true" hidden="false"/>
    </xf>
    <xf numFmtId="164" fontId="26" fillId="0" borderId="5" xfId="20" applyFont="true" applyBorder="true" applyAlignment="true" applyProtection="true">
      <alignment horizontal="general" vertical="bottom" textRotation="0" wrapText="false" indent="0" shrinkToFit="false"/>
      <protection locked="true" hidden="false"/>
    </xf>
    <xf numFmtId="164" fontId="19" fillId="15" borderId="5" xfId="0" applyFont="true" applyBorder="true" applyAlignment="false" applyProtection="false">
      <alignment horizontal="general" vertical="bottom" textRotation="0" wrapText="false" indent="0" shrinkToFit="false"/>
      <protection locked="true" hidden="false"/>
    </xf>
    <xf numFmtId="164" fontId="5" fillId="17" borderId="6" xfId="0" applyFont="true" applyBorder="true" applyAlignment="true" applyProtection="false">
      <alignment horizontal="center"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26" fillId="13" borderId="1" xfId="20" applyFont="true" applyBorder="true" applyAlignment="true" applyProtection="true">
      <alignment horizontal="general" vertical="center" textRotation="0" wrapText="false" indent="0" shrinkToFit="false"/>
      <protection locked="true" hidden="false"/>
    </xf>
    <xf numFmtId="164" fontId="19" fillId="0" borderId="1"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28" fillId="0" borderId="5" xfId="0" applyFont="true" applyBorder="true" applyAlignment="false" applyProtection="false">
      <alignment horizontal="general" vertical="bottom" textRotation="0" wrapText="false" indent="0" shrinkToFit="false"/>
      <protection locked="true" hidden="false"/>
    </xf>
    <xf numFmtId="164" fontId="19" fillId="0" borderId="5" xfId="0" applyFont="true" applyBorder="true" applyAlignment="false" applyProtection="false">
      <alignment horizontal="general" vertical="bottom" textRotation="0" wrapText="false" indent="0" shrinkToFit="false"/>
      <protection locked="true" hidden="false"/>
    </xf>
    <xf numFmtId="164" fontId="5" fillId="13" borderId="5" xfId="0" applyFont="true" applyBorder="true" applyAlignment="false" applyProtection="false">
      <alignment horizontal="general" vertical="bottom" textRotation="0" wrapText="false" indent="0" shrinkToFit="false"/>
      <protection locked="true" hidden="false"/>
    </xf>
    <xf numFmtId="164" fontId="6" fillId="13" borderId="5" xfId="0" applyFont="true" applyBorder="true" applyAlignment="false" applyProtection="false">
      <alignment horizontal="general" vertical="bottom" textRotation="0" wrapText="false" indent="0" shrinkToFit="false"/>
      <protection locked="true" hidden="false"/>
    </xf>
    <xf numFmtId="164" fontId="5" fillId="13" borderId="5" xfId="0" applyFont="true" applyBorder="true" applyAlignment="true" applyProtection="false">
      <alignment horizontal="center" vertical="bottom" textRotation="0" wrapText="false" indent="0" shrinkToFit="false"/>
      <protection locked="true" hidden="false"/>
    </xf>
    <xf numFmtId="164" fontId="26" fillId="13" borderId="5" xfId="20" applyFont="true" applyBorder="true" applyAlignment="true" applyProtection="tru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14" fillId="0" borderId="6" xfId="0" applyFont="true" applyBorder="true" applyAlignment="true" applyProtection="false">
      <alignment horizontal="center" vertical="bottom" textRotation="0" wrapText="false" indent="0" shrinkToFit="false"/>
      <protection locked="true" hidden="false"/>
    </xf>
    <xf numFmtId="164" fontId="14" fillId="13" borderId="5" xfId="0" applyFont="true" applyBorder="true" applyAlignment="false" applyProtection="false">
      <alignment horizontal="general" vertical="bottom" textRotation="0" wrapText="false" indent="0" shrinkToFit="false"/>
      <protection locked="true" hidden="false"/>
    </xf>
    <xf numFmtId="164" fontId="30" fillId="0" borderId="1" xfId="0" applyFont="true" applyBorder="true" applyAlignment="true" applyProtection="false">
      <alignment horizontal="general" vertical="bottom" textRotation="0" wrapText="tru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30" fillId="0" borderId="4" xfId="0" applyFont="true" applyBorder="true" applyAlignment="true" applyProtection="false">
      <alignment horizontal="general" vertical="bottom" textRotation="0" wrapText="true" indent="0" shrinkToFit="false"/>
      <protection locked="true" hidden="false"/>
    </xf>
    <xf numFmtId="164" fontId="26" fillId="0" borderId="1" xfId="20" applyFont="true" applyBorder="true" applyAlignment="true" applyProtection="tru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4" fillId="0" borderId="5" xfId="0" applyFont="true" applyBorder="true" applyAlignment="true" applyProtection="false">
      <alignment horizontal="general" vertical="center" textRotation="0" wrapText="false" indent="0" shrinkToFit="false"/>
      <protection locked="true" hidden="false"/>
    </xf>
    <xf numFmtId="164" fontId="28" fillId="0" borderId="5" xfId="0" applyFont="true" applyBorder="true" applyAlignment="true" applyProtection="false">
      <alignment horizontal="general" vertical="center" textRotation="0" wrapText="false" indent="0" shrinkToFit="false"/>
      <protection locked="true" hidden="false"/>
    </xf>
    <xf numFmtId="164" fontId="14" fillId="0" borderId="5" xfId="0" applyFont="true" applyBorder="true" applyAlignment="true" applyProtection="false">
      <alignment horizontal="center" vertical="center" textRotation="0" wrapText="false" indent="0" shrinkToFit="false"/>
      <protection locked="true" hidden="false"/>
    </xf>
    <xf numFmtId="164" fontId="25" fillId="0" borderId="5" xfId="20" applyFont="true" applyBorder="true" applyAlignment="true" applyProtection="true">
      <alignment horizontal="general" vertical="center" textRotation="0" wrapText="false" indent="0" shrinkToFit="false"/>
      <protection locked="true" hidden="false"/>
    </xf>
    <xf numFmtId="164" fontId="19" fillId="0" borderId="5" xfId="0" applyFont="true" applyBorder="true" applyAlignment="true" applyProtection="false">
      <alignment horizontal="general" vertical="center" textRotation="0" wrapText="false" indent="0" shrinkToFit="false"/>
      <protection locked="true" hidden="false"/>
    </xf>
    <xf numFmtId="164" fontId="19" fillId="13" borderId="5" xfId="0" applyFont="true" applyBorder="true" applyAlignment="false" applyProtection="false">
      <alignment horizontal="general" vertical="bottom" textRotation="0" wrapText="false" indent="0" shrinkToFit="false"/>
      <protection locked="true" hidden="false"/>
    </xf>
    <xf numFmtId="164" fontId="26" fillId="0" borderId="0" xfId="20" applyFont="true" applyBorder="true" applyAlignment="true" applyProtection="true">
      <alignment horizontal="general" vertical="bottom" textRotation="0" wrapText="false" indent="0" shrinkToFit="false"/>
      <protection locked="true" hidden="false"/>
    </xf>
    <xf numFmtId="164" fontId="28" fillId="13" borderId="5" xfId="0" applyFont="true" applyBorder="true" applyAlignment="false" applyProtection="false">
      <alignment horizontal="general" vertical="bottom" textRotation="0" wrapText="false" indent="0" shrinkToFit="false"/>
      <protection locked="true" hidden="false"/>
    </xf>
    <xf numFmtId="164" fontId="25" fillId="13" borderId="5" xfId="20" applyFont="true" applyBorder="true" applyAlignment="true" applyProtection="true">
      <alignment horizontal="general" vertical="bottom" textRotation="0" wrapText="false" indent="0" shrinkToFit="false"/>
      <protection locked="true" hidden="false"/>
    </xf>
    <xf numFmtId="164" fontId="28" fillId="13" borderId="5"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4" fontId="0" fillId="13" borderId="5" xfId="0" applyFont="false" applyBorder="true" applyAlignment="true" applyProtection="false">
      <alignment horizontal="center"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5" fillId="0" borderId="7" xfId="0" applyFont="true" applyBorder="true" applyAlignment="false" applyProtection="false">
      <alignment horizontal="general" vertical="bottom" textRotation="0" wrapText="false" indent="0" shrinkToFit="false"/>
      <protection locked="true" hidden="false"/>
    </xf>
    <xf numFmtId="164" fontId="34" fillId="13" borderId="7" xfId="0" applyFont="true" applyBorder="true" applyAlignment="true" applyProtection="false">
      <alignment horizontal="left" vertical="bottom" textRotation="0" wrapText="false" indent="0" shrinkToFit="false"/>
      <protection locked="true" hidden="false"/>
    </xf>
    <xf numFmtId="164" fontId="5" fillId="0" borderId="7" xfId="0" applyFont="true" applyBorder="true" applyAlignment="true" applyProtection="false">
      <alignment horizontal="center" vertical="bottom" textRotation="0" wrapText="false" indent="0" shrinkToFit="false"/>
      <protection locked="true" hidden="false"/>
    </xf>
    <xf numFmtId="164" fontId="26" fillId="0" borderId="7" xfId="20" applyFont="true" applyBorder="true" applyAlignment="true" applyProtection="true">
      <alignment horizontal="general" vertical="bottom" textRotation="0" wrapText="false" indent="0" shrinkToFit="false"/>
      <protection locked="true" hidden="false"/>
    </xf>
    <xf numFmtId="164" fontId="19" fillId="15" borderId="7" xfId="0" applyFont="true" applyBorder="true" applyAlignment="false" applyProtection="false">
      <alignment horizontal="general" vertical="bottom" textRotation="0" wrapText="false" indent="0" shrinkToFit="false"/>
      <protection locked="true" hidden="false"/>
    </xf>
    <xf numFmtId="164" fontId="5" fillId="0" borderId="8" xfId="0" applyFont="true" applyBorder="true" applyAlignment="true" applyProtection="false">
      <alignment horizontal="center" vertical="bottom" textRotation="0" wrapText="false" indent="0" shrinkToFit="false"/>
      <protection locked="true" hidden="false"/>
    </xf>
    <xf numFmtId="164" fontId="35" fillId="0" borderId="1" xfId="0" applyFont="true" applyBorder="true" applyAlignment="true" applyProtection="false">
      <alignment horizontal="general" vertical="bottom" textRotation="0" wrapText="true" indent="0" shrinkToFit="false"/>
      <protection locked="true" hidden="false"/>
    </xf>
    <xf numFmtId="164" fontId="5" fillId="0" borderId="5" xfId="0" applyFont="true" applyBorder="true" applyAlignment="true" applyProtection="false">
      <alignment horizontal="general" vertical="center" textRotation="0" wrapText="false" indent="0" shrinkToFit="false"/>
      <protection locked="true" hidden="false"/>
    </xf>
    <xf numFmtId="164" fontId="6" fillId="0" borderId="5" xfId="0" applyFont="true" applyBorder="true" applyAlignment="true" applyProtection="false">
      <alignment horizontal="general" vertical="center" textRotation="0" wrapText="false" indent="0" shrinkToFit="false"/>
      <protection locked="true" hidden="false"/>
    </xf>
    <xf numFmtId="164" fontId="0" fillId="13" borderId="5" xfId="0" applyFont="false" applyBorder="true" applyAlignment="true" applyProtection="false">
      <alignment horizontal="center" vertical="center" textRotation="0" wrapText="false" indent="0" shrinkToFit="false"/>
      <protection locked="true" hidden="false"/>
    </xf>
    <xf numFmtId="164" fontId="26" fillId="0" borderId="5" xfId="20" applyFont="true" applyBorder="true" applyAlignment="true" applyProtection="true">
      <alignment horizontal="general" vertical="center" textRotation="0" wrapText="false" indent="0" shrinkToFit="false"/>
      <protection locked="true" hidden="false"/>
    </xf>
    <xf numFmtId="164" fontId="5" fillId="0" borderId="2" xfId="0" applyFont="true" applyBorder="true" applyAlignment="true" applyProtection="false">
      <alignment horizontal="center" vertical="bottom" textRotation="0" wrapText="false" indent="0" shrinkToFit="false"/>
      <protection locked="true" hidden="false"/>
    </xf>
    <xf numFmtId="164" fontId="26" fillId="0" borderId="2" xfId="2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0" fillId="17" borderId="1" xfId="0" applyFont="true" applyBorder="true" applyAlignment="true" applyProtection="false">
      <alignment horizontal="center"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19" fillId="0" borderId="2" xfId="0" applyFont="true" applyBorder="true" applyAlignment="false" applyProtection="false">
      <alignment horizontal="general" vertical="bottom" textRotation="0" wrapText="false" indent="0" shrinkToFit="false"/>
      <protection locked="true" hidden="false"/>
    </xf>
    <xf numFmtId="164" fontId="26" fillId="13" borderId="1" xfId="20" applyFont="true" applyBorder="true" applyAlignment="true" applyProtection="true">
      <alignment horizontal="general" vertical="bottom" textRotation="0" wrapText="fals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true" applyProtection="false">
      <alignment horizontal="center" vertical="bottom" textRotation="0" wrapText="false" indent="0" shrinkToFit="false"/>
      <protection locked="true" hidden="false"/>
    </xf>
    <xf numFmtId="164" fontId="26" fillId="0" borderId="9" xfId="20" applyFont="true" applyBorder="true" applyAlignment="true" applyProtection="true">
      <alignment horizontal="general" vertical="center" textRotation="0" wrapText="false" indent="0" shrinkToFit="false"/>
      <protection locked="true" hidden="false"/>
    </xf>
    <xf numFmtId="164" fontId="19" fillId="0" borderId="9" xfId="0" applyFont="true" applyBorder="true" applyAlignment="false" applyProtection="false">
      <alignment horizontal="general" vertical="bottom" textRotation="0" wrapText="false" indent="0" shrinkToFit="false"/>
      <protection locked="true" hidden="false"/>
    </xf>
    <xf numFmtId="164" fontId="17" fillId="0" borderId="2" xfId="0" applyFont="true" applyBorder="true" applyAlignment="false" applyProtection="false">
      <alignment horizontal="general" vertical="bottom" textRotation="0" wrapText="false" indent="0" shrinkToFit="false"/>
      <protection locked="true" hidden="false"/>
    </xf>
    <xf numFmtId="164" fontId="17" fillId="0" borderId="2" xfId="0" applyFont="true" applyBorder="true" applyAlignment="true" applyProtection="false">
      <alignment horizontal="center" vertical="bottom" textRotation="0" wrapText="false" indent="0" shrinkToFit="false"/>
      <protection locked="true" hidden="false"/>
    </xf>
    <xf numFmtId="164" fontId="25" fillId="0" borderId="2" xfId="20" applyFont="true" applyBorder="true" applyAlignment="true" applyProtection="true">
      <alignment horizontal="general" vertical="bottom" textRotation="0" wrapText="false" indent="0" shrinkToFit="false"/>
      <protection locked="true" hidden="false"/>
    </xf>
    <xf numFmtId="164" fontId="27" fillId="13" borderId="2"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center" vertical="bottom" textRotation="0" wrapText="false" indent="0" shrinkToFit="false"/>
      <protection locked="true" hidden="false"/>
    </xf>
    <xf numFmtId="164" fontId="25" fillId="0" borderId="1" xfId="20" applyFont="true" applyBorder="true" applyAlignment="true" applyProtection="true">
      <alignment horizontal="general" vertical="bottom" textRotation="0" wrapText="false" indent="0" shrinkToFit="false"/>
      <protection locked="true" hidden="false"/>
    </xf>
    <xf numFmtId="164" fontId="27"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center" vertical="bottom" textRotation="0" wrapText="false" indent="0" shrinkToFit="false"/>
      <protection locked="true" hidden="false"/>
    </xf>
    <xf numFmtId="164" fontId="25" fillId="13" borderId="1" xfId="20" applyFont="true" applyBorder="true" applyAlignment="true" applyProtection="true">
      <alignment horizontal="general" vertical="bottom" textRotation="0" wrapText="false" indent="0" shrinkToFit="false"/>
      <protection locked="true" hidden="false"/>
    </xf>
    <xf numFmtId="164" fontId="19" fillId="13" borderId="2" xfId="0" applyFont="true" applyBorder="true" applyAlignment="false" applyProtection="false">
      <alignment horizontal="general" vertical="bottom" textRotation="0" wrapText="false" indent="0" shrinkToFit="false"/>
      <protection locked="true" hidden="false"/>
    </xf>
    <xf numFmtId="164" fontId="37" fillId="13" borderId="1"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19" fillId="15"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19" fillId="15" borderId="2" xfId="0" applyFont="true" applyBorder="true" applyAlignment="false" applyProtection="false">
      <alignment horizontal="general" vertical="bottom" textRotation="0" wrapText="fals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19" fillId="15" borderId="1" xfId="0" applyFont="true" applyBorder="true" applyAlignment="false" applyProtection="false">
      <alignment horizontal="general" vertical="bottom" textRotation="0" wrapText="false" indent="0" shrinkToFit="false"/>
      <protection locked="true" hidden="false"/>
    </xf>
    <xf numFmtId="164" fontId="0" fillId="0" borderId="11" xfId="0" applyFont="true" applyBorder="true" applyAlignment="false" applyProtection="false">
      <alignment horizontal="general" vertical="bottom" textRotation="0" wrapText="false" indent="0" shrinkToFit="false"/>
      <protection locked="true" hidden="false"/>
    </xf>
    <xf numFmtId="164" fontId="40" fillId="8" borderId="7" xfId="0" applyFont="true" applyBorder="true" applyAlignment="true" applyProtection="false">
      <alignment horizontal="left" vertical="center" textRotation="0" wrapText="false" indent="0" shrinkToFit="false"/>
      <protection locked="true" hidden="false"/>
    </xf>
    <xf numFmtId="165" fontId="40" fillId="8" borderId="0" xfId="0" applyFont="true" applyBorder="false" applyAlignment="true" applyProtection="false">
      <alignment horizontal="left" vertical="bottom" textRotation="0" wrapText="false" indent="0" shrinkToFit="false"/>
      <protection locked="true" hidden="false"/>
    </xf>
    <xf numFmtId="165" fontId="40" fillId="8" borderId="1" xfId="0" applyFont="true" applyBorder="true" applyAlignment="true" applyProtection="false">
      <alignment horizontal="left" vertical="bottom" textRotation="0" wrapText="false" indent="0" shrinkToFit="false"/>
      <protection locked="true" hidden="false"/>
    </xf>
    <xf numFmtId="165" fontId="40" fillId="8" borderId="10" xfId="0" applyFont="true" applyBorder="true" applyAlignment="true" applyProtection="false">
      <alignment horizontal="left" vertical="bottom" textRotation="0" wrapText="false" indent="0" shrinkToFit="false"/>
      <protection locked="true" hidden="false"/>
    </xf>
    <xf numFmtId="164" fontId="41" fillId="8" borderId="0" xfId="0" applyFont="true" applyBorder="false" applyAlignment="true" applyProtection="false">
      <alignment horizontal="left" vertical="bottom" textRotation="0" wrapText="false" indent="0" shrinkToFit="false"/>
      <protection locked="true" hidden="false"/>
    </xf>
    <xf numFmtId="164" fontId="28" fillId="13" borderId="0" xfId="0" applyFont="true" applyBorder="false" applyAlignment="true" applyProtection="false">
      <alignment horizontal="left" vertical="center" textRotation="0" wrapText="false" indent="0" shrinkToFit="false"/>
      <protection locked="true" hidden="false"/>
    </xf>
    <xf numFmtId="164" fontId="14" fillId="6" borderId="1" xfId="0" applyFont="true" applyBorder="true" applyAlignment="false" applyProtection="false">
      <alignment horizontal="general" vertical="bottom" textRotation="0" wrapText="false" indent="0" shrinkToFit="false"/>
      <protection locked="true" hidden="false"/>
    </xf>
    <xf numFmtId="164" fontId="14" fillId="3" borderId="1" xfId="0" applyFont="true" applyBorder="true" applyAlignment="false" applyProtection="false">
      <alignment horizontal="general" vertical="bottom" textRotation="0" wrapText="false" indent="0" shrinkToFit="false"/>
      <protection locked="true" hidden="false"/>
    </xf>
    <xf numFmtId="165" fontId="40" fillId="8" borderId="4" xfId="0" applyFont="true" applyBorder="true" applyAlignment="true" applyProtection="false">
      <alignment horizontal="left" vertical="bottom" textRotation="0" wrapText="false" indent="0" shrinkToFit="false"/>
      <protection locked="true" hidden="false"/>
    </xf>
    <xf numFmtId="165" fontId="40" fillId="8" borderId="12" xfId="0" applyFont="true" applyBorder="true" applyAlignment="true" applyProtection="false">
      <alignment horizontal="left" vertical="bottom" textRotation="0" wrapText="false" indent="0" shrinkToFit="false"/>
      <protection locked="true" hidden="false"/>
    </xf>
    <xf numFmtId="165" fontId="40" fillId="8" borderId="9" xfId="0" applyFont="true" applyBorder="true" applyAlignment="true" applyProtection="false">
      <alignment horizontal="left"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5" fillId="15" borderId="0" xfId="0" applyFont="true" applyBorder="false" applyAlignment="false" applyProtection="false">
      <alignment horizontal="general" vertical="bottom" textRotation="0" wrapText="false" indent="0" shrinkToFit="false"/>
      <protection locked="true" hidden="false"/>
    </xf>
    <xf numFmtId="164" fontId="5" fillId="3" borderId="4" xfId="0" applyFont="true" applyBorder="true" applyAlignment="false" applyProtection="false">
      <alignment horizontal="general" vertical="bottom" textRotation="0" wrapText="false" indent="0" shrinkToFit="false"/>
      <protection locked="true" hidden="false"/>
    </xf>
    <xf numFmtId="164" fontId="5" fillId="3" borderId="12" xfId="0" applyFont="true" applyBorder="true" applyAlignment="false" applyProtection="false">
      <alignment horizontal="general" vertical="bottom" textRotation="0" wrapText="false" indent="0" shrinkToFit="false"/>
      <protection locked="true" hidden="false"/>
    </xf>
    <xf numFmtId="164" fontId="5" fillId="3" borderId="2" xfId="0" applyFont="true" applyBorder="tru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4" fontId="5" fillId="3" borderId="10" xfId="0" applyFont="true" applyBorder="true" applyAlignment="false" applyProtection="false">
      <alignment horizontal="general" vertical="bottom" textRotation="0" wrapText="false" indent="0" shrinkToFit="false"/>
      <protection locked="true" hidden="false"/>
    </xf>
    <xf numFmtId="164" fontId="5" fillId="3" borderId="3" xfId="0" applyFont="true" applyBorder="true" applyAlignment="false" applyProtection="false">
      <alignment horizontal="general" vertical="bottom" textRotation="0" wrapText="fals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4" fontId="14" fillId="13" borderId="1" xfId="0" applyFont="true" applyBorder="true" applyAlignment="false" applyProtection="false">
      <alignment horizontal="general" vertical="bottom" textRotation="0" wrapText="false" indent="0" shrinkToFit="false"/>
      <protection locked="true" hidden="false"/>
    </xf>
    <xf numFmtId="164" fontId="5" fillId="8" borderId="0" xfId="0" applyFont="true" applyBorder="false" applyAlignment="false" applyProtection="false">
      <alignment horizontal="general" vertical="bottom" textRotation="0" wrapText="fals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4" fontId="0" fillId="8" borderId="10" xfId="0" applyFont="false" applyBorder="true" applyAlignment="false" applyProtection="false">
      <alignment horizontal="general" vertical="bottom" textRotation="0" wrapText="false" indent="0" shrinkToFit="false"/>
      <protection locked="true" hidden="false"/>
    </xf>
    <xf numFmtId="164" fontId="14" fillId="15" borderId="1" xfId="0" applyFont="true" applyBorder="true" applyAlignment="false" applyProtection="false">
      <alignment horizontal="general" vertical="bottom" textRotation="0" wrapText="false" indent="0" shrinkToFit="false"/>
      <protection locked="true" hidden="false"/>
    </xf>
    <xf numFmtId="164" fontId="14" fillId="18" borderId="1" xfId="0" applyFont="true" applyBorder="true" applyAlignment="false" applyProtection="false">
      <alignment horizontal="general" vertical="bottom" textRotation="0" wrapText="false" indent="0" shrinkToFit="false"/>
      <protection locked="true" hidden="false"/>
    </xf>
    <xf numFmtId="164" fontId="14" fillId="18" borderId="0" xfId="0" applyFont="true" applyBorder="false" applyAlignment="false" applyProtection="false">
      <alignment horizontal="general" vertical="bottom" textRotation="0" wrapText="false" indent="0" shrinkToFit="false"/>
      <protection locked="true" hidden="false"/>
    </xf>
    <xf numFmtId="164" fontId="14" fillId="8" borderId="0" xfId="0" applyFont="true" applyBorder="false" applyAlignment="false" applyProtection="false">
      <alignment horizontal="general" vertical="bottom" textRotation="0" wrapText="false" indent="0" shrinkToFit="false"/>
      <protection locked="true" hidden="false"/>
    </xf>
    <xf numFmtId="164" fontId="14" fillId="18" borderId="10" xfId="0" applyFont="true" applyBorder="true" applyAlignment="false" applyProtection="false">
      <alignment horizontal="general" vertical="bottom" textRotation="0" wrapText="false" indent="0" shrinkToFit="false"/>
      <protection locked="true" hidden="false"/>
    </xf>
    <xf numFmtId="164" fontId="5" fillId="15" borderId="10" xfId="0" applyFont="true" applyBorder="true" applyAlignment="false" applyProtection="false">
      <alignment horizontal="general" vertical="bottom" textRotation="0" wrapText="false" indent="0" shrinkToFit="false"/>
      <protection locked="true" hidden="false"/>
    </xf>
    <xf numFmtId="164" fontId="5" fillId="6" borderId="4" xfId="0" applyFont="true" applyBorder="true" applyAlignment="false" applyProtection="false">
      <alignment horizontal="general"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28" fillId="8" borderId="1" xfId="0" applyFont="true" applyBorder="true" applyAlignment="false" applyProtection="false">
      <alignment horizontal="general" vertical="bottom" textRotation="0" wrapText="false" indent="0" shrinkToFit="false"/>
      <protection locked="true" hidden="false"/>
    </xf>
    <xf numFmtId="164" fontId="28" fillId="8" borderId="10" xfId="0" applyFont="true" applyBorder="true" applyAlignment="false" applyProtection="false">
      <alignment horizontal="general" vertical="bottom" textRotation="0" wrapText="false" indent="0" shrinkToFit="false"/>
      <protection locked="true" hidden="false"/>
    </xf>
    <xf numFmtId="164" fontId="5" fillId="6" borderId="2" xfId="0" applyFont="true" applyBorder="true" applyAlignment="false" applyProtection="false">
      <alignment horizontal="general" vertical="bottom" textRotation="0" wrapText="false" indent="0" shrinkToFit="false"/>
      <protection locked="true" hidden="false"/>
    </xf>
    <xf numFmtId="164" fontId="5" fillId="8" borderId="2" xfId="0" applyFont="true" applyBorder="true" applyAlignment="false" applyProtection="false">
      <alignment horizontal="general" vertical="bottom" textRotation="0" wrapText="false" indent="0" shrinkToFit="false"/>
      <protection locked="true" hidden="false"/>
    </xf>
    <xf numFmtId="164" fontId="14" fillId="6" borderId="0" xfId="0" applyFont="true" applyBorder="false" applyAlignment="false" applyProtection="false">
      <alignment horizontal="general" vertical="bottom" textRotation="0" wrapText="false" indent="0" shrinkToFit="false"/>
      <protection locked="true" hidden="false"/>
    </xf>
    <xf numFmtId="164" fontId="14" fillId="8" borderId="1" xfId="0" applyFont="true" applyBorder="true" applyAlignment="false" applyProtection="false">
      <alignment horizontal="general" vertical="bottom" textRotation="0" wrapText="false" indent="0" shrinkToFit="false"/>
      <protection locked="true" hidden="false"/>
    </xf>
    <xf numFmtId="164" fontId="28" fillId="0" borderId="1" xfId="0" applyFont="true" applyBorder="true" applyAlignment="false" applyProtection="false">
      <alignment horizontal="general" vertical="bottom" textRotation="0" wrapText="false" indent="0" shrinkToFit="false"/>
      <protection locked="true" hidden="false"/>
    </xf>
    <xf numFmtId="164" fontId="4" fillId="3" borderId="1" xfId="0" applyFont="true" applyBorder="true" applyAlignment="false" applyProtection="false">
      <alignment horizontal="general" vertical="bottom" textRotation="0" wrapText="false" indent="0" shrinkToFit="false"/>
      <protection locked="true" hidden="false"/>
    </xf>
    <xf numFmtId="164" fontId="14" fillId="3" borderId="10" xfId="0" applyFont="true" applyBorder="true" applyAlignment="false" applyProtection="false">
      <alignment horizontal="general" vertical="bottom" textRotation="0" wrapText="false" indent="0" shrinkToFit="false"/>
      <protection locked="true" hidden="false"/>
    </xf>
    <xf numFmtId="164" fontId="17" fillId="0" borderId="10" xfId="0" applyFont="true" applyBorder="true" applyAlignment="false" applyProtection="false">
      <alignment horizontal="general" vertical="bottom" textRotation="0" wrapText="false" indent="0" shrinkToFit="false"/>
      <protection locked="true" hidden="false"/>
    </xf>
    <xf numFmtId="164" fontId="17" fillId="8" borderId="1" xfId="0" applyFont="true" applyBorder="true" applyAlignment="false" applyProtection="false">
      <alignment horizontal="general" vertical="bottom" textRotation="0" wrapText="false" indent="0" shrinkToFit="false"/>
      <protection locked="true" hidden="false"/>
    </xf>
    <xf numFmtId="164" fontId="5" fillId="19" borderId="1" xfId="0" applyFont="true" applyBorder="true" applyAlignment="false" applyProtection="false">
      <alignment horizontal="general" vertical="bottom" textRotation="0" wrapText="false" indent="0" shrinkToFit="false"/>
      <protection locked="true" hidden="false"/>
    </xf>
    <xf numFmtId="164" fontId="0" fillId="15" borderId="1" xfId="0" applyFont="false" applyBorder="true" applyAlignment="false" applyProtection="false">
      <alignment horizontal="general" vertical="bottom" textRotation="0" wrapText="false" indent="0" shrinkToFit="false"/>
      <protection locked="true" hidden="false"/>
    </xf>
    <xf numFmtId="164" fontId="0" fillId="8" borderId="4" xfId="0" applyFont="false" applyBorder="true" applyAlignment="false" applyProtection="false">
      <alignment horizontal="general" vertical="bottom" textRotation="0" wrapText="false" indent="0" shrinkToFit="false"/>
      <protection locked="true" hidden="false"/>
    </xf>
    <xf numFmtId="164" fontId="17" fillId="6" borderId="1"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8" borderId="2"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0" fillId="8" borderId="0" xfId="0" applyFont="true" applyBorder="false" applyAlignment="true" applyProtection="false">
      <alignment horizontal="general" vertical="center" textRotation="0" wrapText="true" indent="0" shrinkToFit="false"/>
      <protection locked="true" hidden="false"/>
    </xf>
    <xf numFmtId="164" fontId="40" fillId="8" borderId="0" xfId="0" applyFont="true" applyBorder="false" applyAlignment="true" applyProtection="false">
      <alignment horizontal="center" vertical="center" textRotation="0" wrapText="true" indent="0" shrinkToFit="false"/>
      <protection locked="true" hidden="false"/>
    </xf>
    <xf numFmtId="164" fontId="40" fillId="8" borderId="0" xfId="0" applyFont="true" applyBorder="false" applyAlignment="true" applyProtection="false">
      <alignment horizontal="general" vertical="center" textRotation="0" wrapText="false" indent="0" shrinkToFit="false"/>
      <protection locked="true" hidden="false"/>
    </xf>
    <xf numFmtId="164" fontId="20" fillId="8" borderId="0" xfId="0" applyFont="true" applyBorder="false" applyAlignment="true" applyProtection="false">
      <alignment horizontal="general" vertical="center" textRotation="0" wrapText="false" indent="0" shrinkToFit="false"/>
      <protection locked="true" hidden="false"/>
    </xf>
    <xf numFmtId="164" fontId="20" fillId="8" borderId="0" xfId="0" applyFont="true" applyBorder="false" applyAlignment="true" applyProtection="false">
      <alignment horizontal="general" vertical="bottom" textRotation="0" wrapText="true" indent="0" shrinkToFit="false"/>
      <protection locked="true" hidden="false"/>
    </xf>
    <xf numFmtId="164" fontId="20" fillId="8" borderId="0" xfId="0" applyFont="true" applyBorder="false" applyAlignment="false" applyProtection="false">
      <alignment horizontal="general" vertical="bottom" textRotation="0" wrapText="false" indent="0" shrinkToFit="false"/>
      <protection locked="true" hidden="false"/>
    </xf>
    <xf numFmtId="164" fontId="40" fillId="8"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0" fillId="14" borderId="0" xfId="0" applyFont="false" applyBorder="false" applyAlignment="false" applyProtection="false">
      <alignment horizontal="general" vertical="bottom" textRotation="0" wrapText="false" indent="0" shrinkToFit="false"/>
      <protection locked="true" hidden="false"/>
    </xf>
    <xf numFmtId="165" fontId="43"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13" borderId="0" xfId="0" applyFont="true" applyBorder="false" applyAlignment="false" applyProtection="false">
      <alignment horizontal="general" vertical="bottom" textRotation="0" wrapText="false" indent="0" shrinkToFit="false"/>
      <protection locked="true" hidden="false"/>
    </xf>
    <xf numFmtId="164" fontId="5" fillId="13" borderId="0" xfId="0" applyFont="true" applyBorder="false" applyAlignment="true" applyProtection="false">
      <alignment horizontal="general" vertical="bottom" textRotation="0" wrapText="true" indent="0" shrinkToFit="false"/>
      <protection locked="true" hidden="false"/>
    </xf>
    <xf numFmtId="165" fontId="5" fillId="13" borderId="0" xfId="0" applyFont="true" applyBorder="false" applyAlignment="fals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tru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5" fontId="0" fillId="15" borderId="0" xfId="0" applyFont="false" applyBorder="false" applyAlignment="false" applyProtection="false">
      <alignment horizontal="general" vertical="bottom" textRotation="0" wrapText="false" indent="0" shrinkToFit="false"/>
      <protection locked="true" hidden="false"/>
    </xf>
    <xf numFmtId="164" fontId="0" fillId="13" borderId="0" xfId="0" applyFont="true" applyBorder="false" applyAlignment="false" applyProtection="false">
      <alignment horizontal="general" vertical="bottom" textRotation="0" wrapText="false" indent="0" shrinkToFit="false"/>
      <protection locked="true" hidden="false"/>
    </xf>
    <xf numFmtId="165" fontId="6" fillId="14" borderId="0" xfId="0" applyFont="true" applyBorder="false" applyAlignment="false" applyProtection="false">
      <alignment horizontal="general" vertical="bottom" textRotation="0" wrapText="false" indent="0" shrinkToFit="false"/>
      <protection locked="true" hidden="false"/>
    </xf>
    <xf numFmtId="164" fontId="0" fillId="13" borderId="0" xfId="0" applyFont="true" applyBorder="false" applyAlignment="true" applyProtection="false">
      <alignment horizontal="general" vertical="bottom" textRotation="0" wrapText="true" indent="0" shrinkToFit="false"/>
      <protection locked="true" hidden="false"/>
    </xf>
    <xf numFmtId="165" fontId="0" fillId="13" borderId="0" xfId="0" applyFont="false" applyBorder="false" applyAlignment="false" applyProtection="false">
      <alignment horizontal="general" vertical="bottom" textRotation="0" wrapText="false" indent="0" shrinkToFit="false"/>
      <protection locked="true" hidden="false"/>
    </xf>
    <xf numFmtId="164" fontId="45" fillId="0" borderId="0" xfId="0" applyFont="true" applyBorder="false" applyAlignment="false" applyProtection="false">
      <alignment horizontal="general" vertical="bottom" textRotation="0" wrapText="false" indent="0" shrinkToFit="false"/>
      <protection locked="true" hidden="false"/>
    </xf>
    <xf numFmtId="164" fontId="46" fillId="0" borderId="0" xfId="0" applyFont="true" applyBorder="false" applyAlignment="false" applyProtection="false">
      <alignment horizontal="general" vertical="bottom" textRotation="0" wrapText="false" indent="0" shrinkToFit="false"/>
      <protection locked="true" hidden="false"/>
    </xf>
    <xf numFmtId="165" fontId="47" fillId="14"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0" fillId="13" borderId="0" xfId="0" applyFont="false" applyBorder="false" applyAlignment="false" applyProtection="false">
      <alignment horizontal="general" vertical="bottom" textRotation="0" wrapText="false" indent="0" shrinkToFit="false"/>
      <protection locked="true" hidden="false"/>
    </xf>
    <xf numFmtId="164" fontId="0" fillId="15" borderId="0" xfId="0" applyFont="true" applyBorder="false" applyAlignment="false" applyProtection="false">
      <alignment horizontal="general" vertical="bottom" textRotation="0" wrapText="false" indent="0" shrinkToFit="false"/>
      <protection locked="true" hidden="false"/>
    </xf>
    <xf numFmtId="164" fontId="0" fillId="15" borderId="0" xfId="0" applyFont="false" applyBorder="false" applyAlignment="false" applyProtection="false">
      <alignment horizontal="general" vertical="bottom" textRotation="0" wrapText="false" indent="0" shrinkToFit="false"/>
      <protection locked="true" hidden="false"/>
    </xf>
    <xf numFmtId="164" fontId="5" fillId="15" borderId="0" xfId="0" applyFont="true" applyBorder="false" applyAlignment="true" applyProtection="false">
      <alignment horizontal="general" vertical="bottom" textRotation="0" wrapText="true" indent="0" shrinkToFit="false"/>
      <protection locked="true" hidden="false"/>
    </xf>
    <xf numFmtId="164" fontId="6" fillId="15" borderId="0" xfId="0" applyFont="true" applyBorder="false" applyAlignment="false" applyProtection="false">
      <alignment horizontal="general" vertical="bottom" textRotation="0" wrapText="false" indent="0" shrinkToFit="false"/>
      <protection locked="true" hidden="false"/>
    </xf>
    <xf numFmtId="164" fontId="0" fillId="15" borderId="0" xfId="0" applyFont="true" applyBorder="false" applyAlignment="true" applyProtection="false">
      <alignment horizontal="general" vertical="bottom" textRotation="0" wrapText="tru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7" fontId="0" fillId="0" borderId="1" xfId="0" applyFont="true" applyBorder="true" applyAlignment="true" applyProtection="false">
      <alignment horizontal="general" vertical="center" textRotation="0" wrapText="true" indent="0" shrinkToFit="false"/>
      <protection locked="true" hidden="false"/>
    </xf>
    <xf numFmtId="168" fontId="0" fillId="0" borderId="1" xfId="0" applyFont="true" applyBorder="true" applyAlignment="true" applyProtection="false">
      <alignment horizontal="general" vertical="center" textRotation="0" wrapText="true" indent="0" shrinkToFit="false"/>
      <protection locked="true" hidden="false"/>
    </xf>
    <xf numFmtId="164" fontId="0" fillId="20" borderId="1" xfId="0" applyFont="true" applyBorder="true" applyAlignment="true" applyProtection="false">
      <alignment horizontal="general" vertical="center" textRotation="0" wrapText="true" indent="0" shrinkToFit="false"/>
      <protection locked="true" hidden="false"/>
    </xf>
    <xf numFmtId="164" fontId="0" fillId="15" borderId="1" xfId="0" applyFont="true" applyBorder="true" applyAlignment="true" applyProtection="false">
      <alignment horizontal="general" vertical="center" textRotation="0" wrapText="true" indent="0" shrinkToFit="false"/>
      <protection locked="true" hidden="false"/>
    </xf>
    <xf numFmtId="164" fontId="0" fillId="21" borderId="1" xfId="0" applyFont="true" applyBorder="true" applyAlignment="true" applyProtection="false">
      <alignment horizontal="general" vertical="center" textRotation="0" wrapText="true" indent="0" shrinkToFit="false"/>
      <protection locked="true" hidden="false"/>
    </xf>
    <xf numFmtId="164" fontId="6" fillId="21" borderId="1" xfId="0" applyFont="true" applyBorder="true" applyAlignment="true" applyProtection="false">
      <alignment horizontal="general" vertical="center" textRotation="0" wrapText="true" indent="0" shrinkToFit="false"/>
      <protection locked="true" hidden="false"/>
    </xf>
    <xf numFmtId="164" fontId="0" fillId="21" borderId="1" xfId="0" applyFont="true" applyBorder="true" applyAlignment="true" applyProtection="false">
      <alignment horizontal="general" vertical="bottom" textRotation="0" wrapText="true" indent="0" shrinkToFit="false"/>
      <protection locked="true" hidden="false"/>
    </xf>
    <xf numFmtId="164" fontId="0" fillId="0" borderId="1" xfId="0" applyFont="false" applyBorder="true" applyAlignment="true" applyProtection="false">
      <alignment horizontal="general" vertical="center" textRotation="0" wrapText="true" indent="0" shrinkToFit="false"/>
      <protection locked="true" hidden="false"/>
    </xf>
    <xf numFmtId="169" fontId="0" fillId="0" borderId="1" xfId="15" applyFont="true" applyBorder="true" applyAlignment="true" applyProtection="true">
      <alignment horizontal="general" vertical="bottom" textRotation="0" wrapText="false" indent="0" shrinkToFit="false"/>
      <protection locked="true" hidden="false"/>
    </xf>
    <xf numFmtId="164" fontId="48" fillId="0" borderId="1" xfId="0" applyFont="true" applyBorder="true" applyAlignment="false" applyProtection="false">
      <alignment horizontal="general" vertical="bottom" textRotation="0" wrapText="false" indent="0" shrinkToFit="false"/>
      <protection locked="true" hidden="false"/>
    </xf>
    <xf numFmtId="164" fontId="44"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general" vertical="bottom" textRotation="0" wrapText="true" indent="0" shrinkToFit="false"/>
      <protection locked="true" hidden="false"/>
    </xf>
    <xf numFmtId="164" fontId="0" fillId="13" borderId="1" xfId="0" applyFont="true" applyBorder="true" applyAlignment="false" applyProtection="false">
      <alignment horizontal="general" vertical="bottom" textRotation="0" wrapText="false" indent="0" shrinkToFit="false"/>
      <protection locked="true" hidden="false"/>
    </xf>
    <xf numFmtId="164" fontId="0" fillId="13" borderId="1" xfId="0" applyFont="false" applyBorder="true" applyAlignment="false" applyProtection="false">
      <alignment horizontal="general" vertical="bottom" textRotation="0" wrapText="false" indent="0" shrinkToFit="false"/>
      <protection locked="true" hidden="false"/>
    </xf>
    <xf numFmtId="164" fontId="43" fillId="13" borderId="1" xfId="0" applyFont="true" applyBorder="true" applyAlignment="false" applyProtection="false">
      <alignment horizontal="general" vertical="bottom" textRotation="0" wrapText="false" indent="0" shrinkToFit="false"/>
      <protection locked="true" hidden="false"/>
    </xf>
    <xf numFmtId="167" fontId="0" fillId="15" borderId="1" xfId="0" applyFont="false" applyBorder="true" applyAlignment="false" applyProtection="false">
      <alignment horizontal="general" vertical="bottom" textRotation="0" wrapText="false" indent="0" shrinkToFit="false"/>
      <protection locked="true" hidden="false"/>
    </xf>
    <xf numFmtId="168" fontId="0" fillId="15" borderId="1" xfId="0" applyFont="false" applyBorder="true" applyAlignment="false" applyProtection="false">
      <alignment horizontal="general" vertical="bottom" textRotation="0" wrapText="false" indent="0" shrinkToFit="false"/>
      <protection locked="true" hidden="false"/>
    </xf>
    <xf numFmtId="169" fontId="0" fillId="15" borderId="1" xfId="15" applyFont="true" applyBorder="true" applyAlignment="true" applyProtection="true">
      <alignment horizontal="general" vertical="bottom" textRotation="0" wrapText="false" indent="0" shrinkToFit="false"/>
      <protection locked="true" hidden="false"/>
    </xf>
    <xf numFmtId="164" fontId="43" fillId="15" borderId="1" xfId="0" applyFont="true" applyBorder="true" applyAlignment="false" applyProtection="false">
      <alignment horizontal="general" vertical="bottom" textRotation="0" wrapText="false" indent="0" shrinkToFit="false"/>
      <protection locked="true" hidden="false"/>
    </xf>
    <xf numFmtId="164" fontId="0" fillId="15" borderId="1" xfId="0" applyFont="true" applyBorder="true" applyAlignment="true" applyProtection="false">
      <alignment horizontal="general" vertical="bottom" textRotation="0" wrapText="true" indent="0" shrinkToFit="false"/>
      <protection locked="true" hidden="false"/>
    </xf>
    <xf numFmtId="168" fontId="0" fillId="6" borderId="1" xfId="0" applyFont="fals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general" vertical="bottom"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9" fontId="0" fillId="6" borderId="1" xfId="15" applyFont="true" applyBorder="true" applyAlignment="true" applyProtection="true">
      <alignment horizontal="general" vertical="bottom" textRotation="0" wrapText="false" indent="0" shrinkToFit="false"/>
      <protection locked="true" hidden="false"/>
    </xf>
    <xf numFmtId="167" fontId="0" fillId="6"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true" applyProtection="false">
      <alignment horizontal="general" vertical="bottom" textRotation="0" wrapText="true" indent="0" shrinkToFit="false"/>
      <protection locked="true" hidden="false"/>
    </xf>
    <xf numFmtId="164" fontId="10" fillId="8" borderId="2" xfId="0" applyFont="true" applyBorder="true" applyAlignment="true" applyProtection="false">
      <alignment horizontal="left" vertical="center" textRotation="0" wrapText="false" indent="0" shrinkToFit="false"/>
      <protection locked="true" hidden="false"/>
    </xf>
    <xf numFmtId="164" fontId="10" fillId="8" borderId="2" xfId="0" applyFont="true" applyBorder="true" applyAlignment="true" applyProtection="false">
      <alignment horizontal="left" vertical="center" textRotation="0" wrapText="true" indent="0" shrinkToFit="false"/>
      <protection locked="true" hidden="false"/>
    </xf>
    <xf numFmtId="164" fontId="0" fillId="0" borderId="13" xfId="0" applyFont="true" applyBorder="true" applyAlignment="false" applyProtection="false">
      <alignment horizontal="general" vertical="bottom" textRotation="0" wrapText="false" indent="0" shrinkToFit="false"/>
      <protection locked="true" hidden="false"/>
    </xf>
    <xf numFmtId="164" fontId="18" fillId="0" borderId="2" xfId="0" applyFont="true" applyBorder="true" applyAlignment="false" applyProtection="false">
      <alignment horizontal="general" vertical="bottom" textRotation="0" wrapText="false" indent="0" shrinkToFit="false"/>
      <protection locked="true" hidden="false"/>
    </xf>
    <xf numFmtId="164" fontId="0" fillId="0" borderId="14" xfId="0" applyFont="true" applyBorder="true" applyAlignment="false" applyProtection="false">
      <alignment horizontal="general" vertical="bottom" textRotation="0" wrapText="false" indent="0" shrinkToFit="false"/>
      <protection locked="true" hidden="false"/>
    </xf>
    <xf numFmtId="164" fontId="0" fillId="0" borderId="15" xfId="0" applyFont="false" applyBorder="true" applyAlignment="false" applyProtection="false">
      <alignment horizontal="general" vertical="bottom" textRotation="0" wrapText="false" indent="0" shrinkToFit="false"/>
      <protection locked="true" hidden="false"/>
    </xf>
    <xf numFmtId="164" fontId="9" fillId="8" borderId="0" xfId="0" applyFont="true" applyBorder="false" applyAlignment="false" applyProtection="false">
      <alignment horizontal="general" vertical="bottom" textRotation="0" wrapText="false" indent="0" shrinkToFit="false"/>
      <protection locked="true" hidden="false"/>
    </xf>
    <xf numFmtId="164" fontId="9" fillId="8" borderId="0" xfId="0" applyFont="true" applyBorder="false" applyAlignment="true" applyProtection="false">
      <alignment horizontal="general" vertical="bottom" textRotation="0" wrapText="true" indent="0" shrinkToFit="false"/>
      <protection locked="true" hidden="false"/>
    </xf>
    <xf numFmtId="164" fontId="10" fillId="8" borderId="0" xfId="0" applyFont="true" applyBorder="false" applyAlignment="false" applyProtection="false">
      <alignment horizontal="general" vertical="bottom" textRotation="0" wrapText="false" indent="0" shrinkToFit="false"/>
      <protection locked="true" hidden="false"/>
    </xf>
    <xf numFmtId="164" fontId="11" fillId="8"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0" fillId="8" borderId="1" xfId="0" applyFont="true" applyBorder="true" applyAlignment="false" applyProtection="false">
      <alignment horizontal="general" vertical="bottom" textRotation="0" wrapText="false" indent="0" shrinkToFit="false"/>
      <protection locked="true" hidden="false"/>
    </xf>
    <xf numFmtId="164" fontId="50" fillId="21" borderId="1" xfId="0" applyFont="true" applyBorder="true" applyAlignment="false" applyProtection="false">
      <alignment horizontal="general" vertical="bottom" textRotation="0" wrapText="false" indent="0" shrinkToFit="false"/>
      <protection locked="true" hidden="false"/>
    </xf>
    <xf numFmtId="164" fontId="50" fillId="21" borderId="10" xfId="0" applyFont="true" applyBorder="true" applyAlignment="false" applyProtection="false">
      <alignment horizontal="general" vertical="bottom" textRotation="0" wrapText="false" indent="0" shrinkToFit="false"/>
      <protection locked="true" hidden="false"/>
    </xf>
    <xf numFmtId="164" fontId="6" fillId="13" borderId="0" xfId="0" applyFont="true" applyBorder="false" applyAlignment="true" applyProtection="false">
      <alignment horizontal="left"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2" fillId="0" borderId="1" xfId="0" applyFont="true" applyBorder="true" applyAlignment="false" applyProtection="false">
      <alignment horizontal="general" vertical="bottom" textRotation="0" wrapText="false" indent="0" shrinkToFit="false"/>
      <protection locked="true" hidden="false"/>
    </xf>
    <xf numFmtId="164" fontId="52" fillId="0" borderId="1" xfId="0" applyFont="true" applyBorder="true" applyAlignment="true" applyProtection="false">
      <alignment horizontal="right" vertical="bottom" textRotation="0" wrapText="false" indent="0" shrinkToFit="false"/>
      <protection locked="true" hidden="false"/>
    </xf>
    <xf numFmtId="164" fontId="52" fillId="0" borderId="1" xfId="0" applyFont="true" applyBorder="true" applyAlignment="true" applyProtection="false">
      <alignment horizontal="general" vertical="bottom" textRotation="0" wrapText="false" indent="0" shrinkToFit="false"/>
      <protection locked="true" hidden="false"/>
    </xf>
    <xf numFmtId="164" fontId="52" fillId="0" borderId="10" xfId="0" applyFont="true" applyBorder="true" applyAlignment="false" applyProtection="false">
      <alignment horizontal="general" vertical="bottom" textRotation="0" wrapText="false" indent="0" shrinkToFit="false"/>
      <protection locked="true" hidden="false"/>
    </xf>
    <xf numFmtId="164" fontId="52" fillId="0" borderId="1" xfId="0" applyFont="true" applyBorder="true" applyAlignment="true" applyProtection="false">
      <alignment horizontal="general" vertical="bottom" textRotation="0" wrapText="true" indent="0" shrinkToFit="false"/>
      <protection locked="true" hidden="false"/>
    </xf>
    <xf numFmtId="164" fontId="50" fillId="22" borderId="1" xfId="0" applyFont="true" applyBorder="true" applyAlignment="false" applyProtection="false">
      <alignment horizontal="general" vertical="bottom" textRotation="0" wrapText="false" indent="0" shrinkToFit="false"/>
      <protection locked="true" hidden="false"/>
    </xf>
    <xf numFmtId="164" fontId="50" fillId="22" borderId="10" xfId="0" applyFont="true" applyBorder="true" applyAlignment="false" applyProtection="false">
      <alignment horizontal="general" vertical="bottom" textRotation="0" wrapText="false" indent="0" shrinkToFit="false"/>
      <protection locked="true" hidden="false"/>
    </xf>
    <xf numFmtId="164" fontId="50" fillId="0" borderId="1" xfId="0" applyFont="true" applyBorder="true" applyAlignment="false" applyProtection="false">
      <alignment horizontal="general" vertical="bottom" textRotation="0" wrapText="false" indent="0" shrinkToFit="false"/>
      <protection locked="true" hidden="false"/>
    </xf>
    <xf numFmtId="164" fontId="53" fillId="0" borderId="1" xfId="0" applyFont="true" applyBorder="true" applyAlignment="false" applyProtection="false">
      <alignment horizontal="general" vertical="bottom" textRotation="0" wrapText="false" indent="0" shrinkToFit="false"/>
      <protection locked="true" hidden="false"/>
    </xf>
    <xf numFmtId="164" fontId="52" fillId="21" borderId="1" xfId="0" applyFont="true" applyBorder="true" applyAlignment="false" applyProtection="false">
      <alignment horizontal="general" vertical="bottom" textRotation="0" wrapText="false" indent="0" shrinkToFit="false"/>
      <protection locked="true" hidden="false"/>
    </xf>
    <xf numFmtId="164" fontId="52" fillId="21" borderId="1" xfId="0" applyFont="true" applyBorder="true" applyAlignment="true" applyProtection="false">
      <alignment horizontal="right" vertical="bottom" textRotation="0" wrapText="false" indent="0" shrinkToFit="false"/>
      <protection locked="true" hidden="false"/>
    </xf>
    <xf numFmtId="164" fontId="52" fillId="21" borderId="10" xfId="0" applyFont="true" applyBorder="true" applyAlignment="false" applyProtection="false">
      <alignment horizontal="general" vertical="bottom" textRotation="0" wrapText="false" indent="0" shrinkToFit="false"/>
      <protection locked="true" hidden="false"/>
    </xf>
    <xf numFmtId="164" fontId="50" fillId="0" borderId="10" xfId="0" applyFont="true" applyBorder="true" applyAlignment="false" applyProtection="false">
      <alignment horizontal="general" vertical="bottom" textRotation="0" wrapText="false" indent="0" shrinkToFit="false"/>
      <protection locked="true" hidden="false"/>
    </xf>
    <xf numFmtId="164" fontId="54" fillId="22" borderId="1" xfId="0" applyFont="true" applyBorder="true" applyAlignment="false" applyProtection="false">
      <alignment horizontal="general" vertical="bottom" textRotation="0" wrapText="false" indent="0" shrinkToFit="false"/>
      <protection locked="true" hidden="false"/>
    </xf>
    <xf numFmtId="164" fontId="53" fillId="22" borderId="1" xfId="0" applyFont="true" applyBorder="true" applyAlignment="false" applyProtection="false">
      <alignment horizontal="general" vertical="bottom" textRotation="0" wrapText="false" indent="0" shrinkToFit="false"/>
      <protection locked="true" hidden="false"/>
    </xf>
    <xf numFmtId="164" fontId="55" fillId="21" borderId="1" xfId="0" applyFont="true" applyBorder="true" applyAlignment="true" applyProtection="false">
      <alignment horizontal="left" vertical="bottom" textRotation="0" wrapText="false" indent="0" shrinkToFit="false"/>
      <protection locked="true" hidden="false"/>
    </xf>
    <xf numFmtId="164" fontId="56" fillId="0" borderId="1" xfId="20" applyFont="true" applyBorder="true" applyAlignment="true" applyProtection="true">
      <alignment horizontal="general" vertical="bottom" textRotation="0" wrapText="false" indent="0" shrinkToFit="false"/>
      <protection locked="true" hidden="false"/>
    </xf>
    <xf numFmtId="164" fontId="52" fillId="14" borderId="1" xfId="0" applyFont="true" applyBorder="true" applyAlignment="false" applyProtection="false">
      <alignment horizontal="general" vertical="bottom" textRotation="0" wrapText="false" indent="0" shrinkToFit="false"/>
      <protection locked="true" hidden="false"/>
    </xf>
    <xf numFmtId="164" fontId="57" fillId="23" borderId="2" xfId="0" applyFont="true" applyBorder="true" applyAlignment="true" applyProtection="false">
      <alignment horizontal="center" vertical="center" textRotation="0" wrapText="false" indent="0" shrinkToFit="false"/>
      <protection locked="true" hidden="false"/>
    </xf>
    <xf numFmtId="164" fontId="6" fillId="23" borderId="0" xfId="0" applyFont="true" applyBorder="false" applyAlignment="false" applyProtection="false">
      <alignment horizontal="general" vertical="bottom" textRotation="0" wrapText="false" indent="0" shrinkToFit="false"/>
      <protection locked="true" hidden="false"/>
    </xf>
    <xf numFmtId="164" fontId="52" fillId="15" borderId="1" xfId="0" applyFont="true" applyBorder="true" applyAlignment="false" applyProtection="false">
      <alignment horizontal="general" vertical="bottom" textRotation="0" wrapText="false" indent="0" shrinkToFit="false"/>
      <protection locked="true" hidden="false"/>
    </xf>
    <xf numFmtId="164" fontId="58" fillId="15" borderId="1" xfId="0" applyFont="true" applyBorder="true" applyAlignment="true" applyProtection="false">
      <alignment horizontal="general" vertical="bottom" textRotation="0" wrapText="true" indent="0" shrinkToFit="false"/>
      <protection locked="true" hidden="false"/>
    </xf>
    <xf numFmtId="164" fontId="56" fillId="15" borderId="1" xfId="20" applyFont="true" applyBorder="true" applyAlignment="true" applyProtection="true">
      <alignment horizontal="general" vertical="bottom" textRotation="0" wrapText="false" indent="0" shrinkToFit="false"/>
      <protection locked="true" hidden="false"/>
    </xf>
    <xf numFmtId="164" fontId="6" fillId="15" borderId="1" xfId="0" applyFont="true" applyBorder="true" applyAlignment="false" applyProtection="false">
      <alignment horizontal="general" vertical="bottom" textRotation="0" wrapText="false" indent="0" shrinkToFit="false"/>
      <protection locked="true" hidden="false"/>
    </xf>
    <xf numFmtId="164" fontId="52" fillId="24" borderId="1" xfId="0" applyFont="true" applyBorder="true" applyAlignment="false" applyProtection="false">
      <alignment horizontal="general" vertical="bottom" textRotation="0" wrapText="false" indent="0" shrinkToFit="false"/>
      <protection locked="true" hidden="false"/>
    </xf>
    <xf numFmtId="164" fontId="59" fillId="0" borderId="1" xfId="0" applyFont="true" applyBorder="true" applyAlignment="false" applyProtection="false">
      <alignment horizontal="general" vertical="bottom" textRotation="0" wrapText="false" indent="0" shrinkToFit="false"/>
      <protection locked="true" hidden="false"/>
    </xf>
    <xf numFmtId="164" fontId="61" fillId="0" borderId="1" xfId="0" applyFont="true" applyBorder="true" applyAlignment="false" applyProtection="false">
      <alignment horizontal="general" vertical="bottom" textRotation="0" wrapText="false" indent="0" shrinkToFit="false"/>
      <protection locked="true" hidden="false"/>
    </xf>
    <xf numFmtId="164" fontId="62" fillId="0" borderId="1" xfId="0" applyFont="true" applyBorder="true" applyAlignment="false" applyProtection="false">
      <alignment horizontal="general" vertical="bottom" textRotation="0" wrapText="false" indent="0" shrinkToFit="false"/>
      <protection locked="true" hidden="false"/>
    </xf>
    <xf numFmtId="164" fontId="63" fillId="24" borderId="1" xfId="0" applyFont="true" applyBorder="true" applyAlignment="false" applyProtection="false">
      <alignment horizontal="general" vertical="bottom" textRotation="0" wrapText="false" indent="0" shrinkToFit="false"/>
      <protection locked="true" hidden="false"/>
    </xf>
    <xf numFmtId="164" fontId="63" fillId="0" borderId="1"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4" fillId="0" borderId="1" xfId="0" applyFont="true" applyBorder="true" applyAlignment="false" applyProtection="false">
      <alignment horizontal="general" vertical="bottom" textRotation="0" wrapText="false" indent="0" shrinkToFit="false"/>
      <protection locked="true" hidden="false"/>
    </xf>
    <xf numFmtId="164" fontId="5" fillId="25" borderId="0" xfId="0" applyFont="true" applyBorder="false" applyAlignment="false" applyProtection="false">
      <alignment horizontal="general" vertical="bottom" textRotation="0" wrapText="false" indent="0" shrinkToFit="false"/>
      <protection locked="true" hidden="false"/>
    </xf>
    <xf numFmtId="164" fontId="37" fillId="25" borderId="0" xfId="0" applyFont="true" applyBorder="false" applyAlignment="false" applyProtection="false">
      <alignment horizontal="general" vertical="bottom" textRotation="0" wrapText="false" indent="0" shrinkToFit="false"/>
      <protection locked="true" hidden="false"/>
    </xf>
    <xf numFmtId="164" fontId="5" fillId="26" borderId="0" xfId="0" applyFont="true" applyBorder="false" applyAlignment="false" applyProtection="false">
      <alignment horizontal="general" vertical="bottom" textRotation="0" wrapText="false" indent="0" shrinkToFit="false"/>
      <protection locked="true" hidden="false"/>
    </xf>
    <xf numFmtId="164" fontId="37" fillId="26" borderId="0" xfId="0" applyFont="true" applyBorder="fals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7" fillId="13"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5" fillId="27" borderId="0" xfId="0" applyFont="true" applyBorder="false" applyAlignment="false" applyProtection="false">
      <alignment horizontal="general" vertical="bottom" textRotation="0" wrapText="false" indent="0" shrinkToFit="false"/>
      <protection locked="true" hidden="false"/>
    </xf>
    <xf numFmtId="164" fontId="5" fillId="22"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73" fontId="5" fillId="0" borderId="0" xfId="0" applyFont="true" applyBorder="false" applyAlignment="false" applyProtection="false">
      <alignment horizontal="general" vertical="bottom" textRotation="0" wrapText="false" indent="0" shrinkToFit="false"/>
      <protection locked="true" hidden="false"/>
    </xf>
    <xf numFmtId="164" fontId="5" fillId="28" borderId="0" xfId="0" applyFont="true" applyBorder="false" applyAlignment="false" applyProtection="false">
      <alignment horizontal="general" vertical="bottom" textRotation="0" wrapText="false" indent="0" shrinkToFit="false"/>
      <protection locked="true" hidden="false"/>
    </xf>
    <xf numFmtId="164" fontId="5" fillId="29"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5" fillId="16"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4" fontId="0" fillId="17" borderId="1" xfId="0" applyFont="true" applyBorder="true" applyAlignment="false" applyProtection="false">
      <alignment horizontal="general" vertical="bottom" textRotation="0" wrapText="false" indent="0" shrinkToFit="false"/>
      <protection locked="true" hidden="false"/>
    </xf>
    <xf numFmtId="164" fontId="0" fillId="10" borderId="1" xfId="0" applyFont="true" applyBorder="true" applyAlignment="false" applyProtection="false">
      <alignment horizontal="general" vertical="bottom" textRotation="0" wrapText="false" indent="0" shrinkToFit="false"/>
      <protection locked="true" hidden="false"/>
    </xf>
    <xf numFmtId="164" fontId="0" fillId="30" borderId="1" xfId="0" applyFont="true" applyBorder="true" applyAlignment="false" applyProtection="false">
      <alignment horizontal="general" vertical="bottom" textRotation="0" wrapText="false" indent="0" shrinkToFit="false"/>
      <protection locked="true" hidden="false"/>
    </xf>
    <xf numFmtId="164" fontId="0" fillId="17" borderId="2" xfId="0" applyFont="true" applyBorder="tru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76">
    <dxf>
      <font>
        <color rgb="FF9C0006"/>
      </font>
      <fill>
        <patternFill>
          <bgColor rgb="FFFFC7CE"/>
        </patternFill>
      </fill>
    </dxf>
    <dxf>
      <fill>
        <patternFill>
          <bgColor rgb="FF00B0F0"/>
        </patternFill>
      </fill>
    </dxf>
    <dxf>
      <fill>
        <patternFill>
          <bgColor rgb="FF92D050"/>
        </patternFill>
      </fill>
    </dxf>
    <dxf>
      <fill>
        <patternFill>
          <bgColor rgb="FFE920F8"/>
        </patternFill>
      </fill>
    </dxf>
    <dxf>
      <fill>
        <patternFill>
          <bgColor rgb="FFFF0000"/>
        </patternFill>
      </fill>
    </dxf>
    <dxf>
      <fill>
        <patternFill>
          <bgColor theme="8"/>
        </patternFill>
      </fill>
    </dxf>
    <dxf>
      <fill>
        <patternFill patternType="solid">
          <fgColor rgb="FF000000"/>
          <bgColor rgb="FF000000"/>
        </patternFill>
      </fill>
    </dxf>
    <dxf>
      <fill>
        <patternFill patternType="solid">
          <fgColor rgb="FFFFFFFF"/>
          <bgColor rgb="FF000000"/>
        </patternFill>
      </fill>
    </dxf>
    <dxf>
      <fill>
        <patternFill patternType="solid">
          <bgColor rgb="FF000000"/>
        </patternFill>
      </fill>
    </dxf>
    <dxf>
      <fill>
        <patternFill patternType="solid">
          <fgColor rgb="FFE920F8"/>
          <bgColor rgb="FF000000"/>
        </patternFill>
      </fill>
    </dxf>
    <dxf>
      <fill>
        <patternFill patternType="solid">
          <fgColor rgb="FFFF6D01"/>
          <bgColor rgb="FF000000"/>
        </patternFill>
      </fill>
    </dxf>
    <dxf>
      <fill>
        <patternFill patternType="solid">
          <fgColor rgb="FFFF0000"/>
          <bgColor rgb="FF000000"/>
        </patternFill>
      </fill>
    </dxf>
    <dxf>
      <fill>
        <patternFill patternType="solid">
          <fgColor rgb="FF00FF00"/>
          <bgColor rgb="FF000000"/>
        </patternFill>
      </fill>
    </dxf>
    <dxf>
      <fill>
        <patternFill patternType="solid">
          <fgColor rgb="FFFFFF00"/>
          <bgColor rgb="FF000000"/>
        </patternFill>
      </fill>
    </dxf>
    <dxf>
      <fill>
        <patternFill patternType="solid">
          <fgColor rgb="FF222222"/>
          <bgColor rgb="FF000000"/>
        </patternFill>
      </fill>
    </dxf>
    <dxf>
      <fill>
        <patternFill patternType="solid">
          <fgColor rgb="FF00B0F0"/>
          <bgColor rgb="FF000000"/>
        </patternFill>
      </fill>
    </dxf>
    <dxf>
      <fill>
        <patternFill>
          <bgColor rgb="FF00B0F0"/>
        </patternFill>
      </fill>
    </dxf>
    <dxf>
      <fill>
        <patternFill>
          <bgColor rgb="FF92D050"/>
        </patternFill>
      </fill>
    </dxf>
    <dxf>
      <fill>
        <patternFill>
          <bgColor rgb="FFE920F8"/>
        </patternFill>
      </fill>
    </dxf>
    <dxf>
      <fill>
        <patternFill>
          <bgColor rgb="FFFF0000"/>
        </patternFill>
      </fill>
    </dxf>
    <dxf>
      <fill>
        <patternFill>
          <bgColor theme="8"/>
        </patternFill>
      </fill>
    </dxf>
    <dxf>
      <fill>
        <patternFill patternType="solid">
          <fgColor rgb="FFFFC7CE"/>
          <bgColor rgb="FF000000"/>
        </patternFill>
      </fill>
    </dxf>
    <dxf>
      <fill>
        <patternFill patternType="solid">
          <fgColor rgb="FF9C0006"/>
          <bgColor rgb="FF000000"/>
        </patternFill>
      </fill>
    </dxf>
    <dxf>
      <fill>
        <patternFill patternType="solid">
          <fgColor rgb="FF1F1F1F"/>
          <bgColor rgb="FF000000"/>
        </patternFill>
      </fill>
    </dxf>
    <dxf>
      <fill>
        <patternFill patternType="solid">
          <fgColor rgb="FF242424"/>
          <bgColor rgb="FF000000"/>
        </patternFill>
      </fill>
    </dxf>
    <dxf>
      <fill>
        <patternFill patternType="solid">
          <fgColor rgb="FF92D050"/>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4285F4"/>
          <bgColor rgb="FF000000"/>
        </patternFill>
      </fill>
    </dxf>
    <dxf>
      <fill>
        <patternFill patternType="solid">
          <fgColor rgb="FF00B050"/>
          <bgColor rgb="FF000000"/>
        </patternFill>
      </fill>
    </dxf>
    <dxf>
      <fill>
        <patternFill>
          <bgColor rgb="FF00B0F0"/>
        </patternFill>
      </fill>
    </dxf>
    <dxf>
      <fill>
        <patternFill>
          <bgColor rgb="FF92D050"/>
        </patternFill>
      </fill>
    </dxf>
    <dxf>
      <fill>
        <patternFill>
          <bgColor rgb="FFE920F8"/>
        </patternFill>
      </fill>
    </dxf>
    <dxf>
      <fill>
        <patternFill>
          <bgColor rgb="FF00B0F0"/>
        </patternFill>
      </fill>
    </dxf>
    <dxf>
      <fill>
        <patternFill>
          <bgColor rgb="FF92D050"/>
        </patternFill>
      </fill>
    </dxf>
    <dxf>
      <fill>
        <patternFill>
          <bgColor rgb="FFE920F8"/>
        </patternFill>
      </fill>
    </dxf>
    <dxf>
      <fill>
        <patternFill>
          <bgColor rgb="FFFF0000"/>
        </patternFill>
      </fill>
    </dxf>
    <dxf>
      <fill>
        <patternFill>
          <bgColor theme="8"/>
        </patternFill>
      </fill>
    </dxf>
    <dxf>
      <fill>
        <patternFill>
          <bgColor rgb="FFB7E1CD"/>
        </patternFill>
      </fill>
    </dxf>
    <dxf>
      <fill>
        <patternFill>
          <bgColor rgb="FFFCE8B2"/>
        </patternFill>
      </fill>
    </dxf>
    <dxf>
      <fill>
        <patternFill>
          <bgColor rgb="FFF4C7C3"/>
        </patternFill>
      </fill>
    </dxf>
    <dxf>
      <fill>
        <patternFill>
          <bgColor rgb="FFB7E1CD"/>
        </patternFill>
      </fill>
    </dxf>
    <dxf>
      <fill>
        <patternFill>
          <bgColor rgb="FFFCE8B2"/>
        </patternFill>
      </fill>
    </dxf>
    <dxf>
      <fill>
        <patternFill>
          <bgColor rgb="FFF4C7C3"/>
        </patternFill>
      </fill>
    </dxf>
    <dxf>
      <fill>
        <patternFill>
          <bgColor rgb="FFB7E1CD"/>
        </patternFill>
      </fill>
    </dxf>
    <dxf>
      <fill>
        <patternFill>
          <bgColor rgb="FFFCE8B2"/>
        </patternFill>
      </fill>
    </dxf>
    <dxf>
      <fill>
        <patternFill>
          <bgColor rgb="FFF4C7C3"/>
        </patternFill>
      </fill>
    </dxf>
    <dxf>
      <fill>
        <patternFill>
          <bgColor rgb="FFB7E1CD"/>
        </patternFill>
      </fill>
    </dxf>
    <dxf>
      <fill>
        <patternFill>
          <bgColor rgb="FFFCE8B2"/>
        </patternFill>
      </fill>
    </dxf>
    <dxf>
      <fill>
        <patternFill>
          <bgColor rgb="FFF4C7C3"/>
        </patternFill>
      </fill>
    </dxf>
    <dxf>
      <fill>
        <patternFill>
          <bgColor rgb="FFB7E1CD"/>
        </patternFill>
      </fill>
    </dxf>
    <dxf>
      <fill>
        <patternFill>
          <bgColor rgb="FFFCE8B2"/>
        </patternFill>
      </fill>
    </dxf>
    <dxf>
      <fill>
        <patternFill>
          <bgColor rgb="FFF4C7C3"/>
        </patternFill>
      </fill>
    </dxf>
    <dxf>
      <fill>
        <patternFill>
          <bgColor rgb="FFB7E1CD"/>
        </patternFill>
      </fill>
    </dxf>
    <dxf>
      <fill>
        <patternFill>
          <bgColor rgb="FFFCE8B2"/>
        </patternFill>
      </fill>
    </dxf>
    <dxf>
      <fill>
        <patternFill>
          <bgColor rgb="FFF4C7C3"/>
        </patternFill>
      </fill>
    </dxf>
    <dxf>
      <fill>
        <patternFill>
          <bgColor rgb="FFB7E1CD"/>
        </patternFill>
      </fill>
    </dxf>
    <dxf>
      <fill>
        <patternFill>
          <bgColor rgb="FFF4C7C3"/>
        </patternFill>
      </fill>
    </dxf>
    <dxf>
      <fill>
        <patternFill>
          <bgColor rgb="FFB7E1CD"/>
        </patternFill>
      </fill>
    </dxf>
    <dxf>
      <fill>
        <patternFill>
          <bgColor rgb="FFFCE8B2"/>
        </patternFill>
      </fill>
    </dxf>
    <dxf>
      <fill>
        <patternFill>
          <bgColor rgb="FFF4C7C3"/>
        </patternFill>
      </fill>
    </dxf>
    <dxf>
      <fill>
        <patternFill>
          <bgColor rgb="FFB7E1CD"/>
        </patternFill>
      </fill>
    </dxf>
    <dxf>
      <fill>
        <patternFill>
          <bgColor rgb="FFFCE8B2"/>
        </patternFill>
      </fill>
    </dxf>
    <dxf>
      <fill>
        <patternFill>
          <bgColor rgb="FFF4C7C3"/>
        </patternFill>
      </fill>
    </dxf>
    <dxf>
      <fill>
        <patternFill>
          <bgColor rgb="FFB7E1CD"/>
        </patternFill>
      </fill>
    </dxf>
    <dxf>
      <fill>
        <patternFill>
          <bgColor rgb="FFFCE8B2"/>
        </patternFill>
      </fill>
    </dxf>
    <dxf>
      <fill>
        <patternFill>
          <bgColor rgb="FFF4C7C3"/>
        </patternFill>
      </fill>
    </dxf>
  </dxfs>
  <colors>
    <indexedColors>
      <rgbColor rgb="FF000000"/>
      <rgbColor rgb="FFFFFFFF"/>
      <rgbColor rgb="FFFF0000"/>
      <rgbColor rgb="FF00FF00"/>
      <rgbColor rgb="FF0000FF"/>
      <rgbColor rgb="FFFFFF00"/>
      <rgbColor rgb="FFFF00FF"/>
      <rgbColor rgb="FF00FFFF"/>
      <rgbColor rgb="FF9C0006"/>
      <rgbColor rgb="FF008000"/>
      <rgbColor rgb="FF202124"/>
      <rgbColor rgb="FF808000"/>
      <rgbColor rgb="FF800080"/>
      <rgbColor rgb="FF1155CC"/>
      <rgbColor rgb="FFBFBFBF"/>
      <rgbColor rgb="FF8E7CC3"/>
      <rgbColor rgb="FF9999FF"/>
      <rgbColor rgb="FFEA4335"/>
      <rgbColor rgb="FFFEF2CD"/>
      <rgbColor rgb="FFF3F3F3"/>
      <rgbColor rgb="FF660066"/>
      <rgbColor rgb="FFDD7E6B"/>
      <rgbColor rgb="FF0563C1"/>
      <rgbColor rgb="FFEAD1DC"/>
      <rgbColor rgb="FF222222"/>
      <rgbColor rgb="FFE920F8"/>
      <rgbColor rgb="FFFBBC04"/>
      <rgbColor rgb="FF00FFFF"/>
      <rgbColor rgb="FF800080"/>
      <rgbColor rgb="FFCC0000"/>
      <rgbColor rgb="FF008080"/>
      <rgbColor rgb="FF0000FF"/>
      <rgbColor rgb="FF00B0F0"/>
      <rgbColor rgb="FFFCE5CD"/>
      <rgbColor rgb="FFD3F1DB"/>
      <rgbColor rgb="FFFCE8B2"/>
      <rgbColor rgb="FFB7E1CD"/>
      <rgbColor rgb="FFF7B4AE"/>
      <rgbColor rgb="FFFFC7CE"/>
      <rgbColor rgb="FFF4C7C3"/>
      <rgbColor rgb="FF4285F4"/>
      <rgbColor rgb="FF46BDC6"/>
      <rgbColor rgb="FF92D050"/>
      <rgbColor rgb="FFFFC000"/>
      <rgbColor rgb="FFFF9900"/>
      <rgbColor rgb="FFFF6D01"/>
      <rgbColor rgb="FF444444"/>
      <rgbColor rgb="FF969696"/>
      <rgbColor rgb="FF16233A"/>
      <rgbColor rgb="FF00B050"/>
      <rgbColor rgb="FF1F1F1F"/>
      <rgbColor rgb="FF242424"/>
      <rgbColor rgb="FF993300"/>
      <rgbColor rgb="FF993366"/>
      <rgbColor rgb="FF434343"/>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hyperlink" Target="mailto:gclarke@fpconservatory.org" TargetMode="External"/><Relationship Id="rId2" Type="http://schemas.openxmlformats.org/officeDocument/2006/relationships/hyperlink" Target="mailto:megantheresefiscus@gmail.com" TargetMode="External"/><Relationship Id="rId3" Type="http://schemas.openxmlformats.org/officeDocument/2006/relationships/hyperlink" Target="mailto:akistler@columbuslibrary.org" TargetMode="External"/><Relationship Id="rId4" Type="http://schemas.openxmlformats.org/officeDocument/2006/relationships/hyperlink" Target="mailto:kristiansims42@gmail.com" TargetMode="External"/><Relationship Id="rId5" Type="http://schemas.openxmlformats.org/officeDocument/2006/relationships/hyperlink" Target="mailto:benlkeith@gmail.com" TargetMode="External"/><Relationship Id="rId6" Type="http://schemas.openxmlformats.org/officeDocument/2006/relationships/hyperlink" Target="mailto:katharine6547@gmail.com" TargetMode="External"/><Relationship Id="rId7" Type="http://schemas.openxmlformats.org/officeDocument/2006/relationships/hyperlink" Target="mailto:akistler@columbuslibrary.org" TargetMode="External"/><Relationship Id="rId8" Type="http://schemas.openxmlformats.org/officeDocument/2006/relationships/hyperlink" Target="mailto:rjoehlin@alterrare.com" TargetMode="External"/><Relationship Id="rId9" Type="http://schemas.openxmlformats.org/officeDocument/2006/relationships/hyperlink" Target="mailto:gclarke@fpconservatory.org" TargetMode="External"/><Relationship Id="rId10" Type="http://schemas.openxmlformats.org/officeDocument/2006/relationships/hyperlink" Target="mailto:akistler@columbuslibrary.org" TargetMode="External"/><Relationship Id="rId11" Type="http://schemas.openxmlformats.org/officeDocument/2006/relationships/hyperlink" Target="mailto:rjoehlin@alterrare.com" TargetMode="External"/><Relationship Id="rId12" Type="http://schemas.openxmlformats.org/officeDocument/2006/relationships/hyperlink" Target="mailto:eellman@bexley.org" TargetMode="External"/><Relationship Id="rId13" Type="http://schemas.openxmlformats.org/officeDocument/2006/relationships/hyperlink" Target="mailto:rjoehlin@alterrare.com" TargetMode="External"/><Relationship Id="rId14" Type="http://schemas.openxmlformats.org/officeDocument/2006/relationships/hyperlink" Target="mailto:aaichele@cosi.org" TargetMode="External"/><Relationship Id="rId15" Type="http://schemas.openxmlformats.org/officeDocument/2006/relationships/hyperlink" Target="mailto:aleber@gmail.com" TargetMode="External"/><Relationship Id="rId16" Type="http://schemas.openxmlformats.org/officeDocument/2006/relationships/hyperlink" Target="mailto:jlaughbaum7833@columbus.k12.oh.us" TargetMode="External"/><Relationship Id="rId17" Type="http://schemas.openxmlformats.org/officeDocument/2006/relationships/hyperlink" Target="mailto:info@franklintoncycleworks.org" TargetMode="External"/><Relationship Id="rId18" Type="http://schemas.openxmlformats.org/officeDocument/2006/relationships/hyperlink" Target="mailto:boylanjasonc@gmail.com" TargetMode="External"/><Relationship Id="rId19" Type="http://schemas.openxmlformats.org/officeDocument/2006/relationships/hyperlink" Target="mailto:jgiamarco@blendontwp.org" TargetMode="External"/><Relationship Id="rId20" Type="http://schemas.openxmlformats.org/officeDocument/2006/relationships/hyperlink" Target="mailto:twhittington@ymcacolumbus.org" TargetMode="External"/><Relationship Id="rId21" Type="http://schemas.openxmlformats.org/officeDocument/2006/relationships/hyperlink" Target="mailto:thurley@grovecityohio.gov" TargetMode="External"/><Relationship Id="rId22" Type="http://schemas.openxmlformats.org/officeDocument/2006/relationships/hyperlink" Target="mailto:austin.deschene@epa.ohio.gov" TargetMode="External"/><Relationship Id="rId23" Type="http://schemas.openxmlformats.org/officeDocument/2006/relationships/hyperlink" Target="mailto:info@franklintoncycleworks.org" TargetMode="External"/><Relationship Id="rId24" Type="http://schemas.openxmlformats.org/officeDocument/2006/relationships/hyperlink" Target="mailto:fdstaten@yahoo.com" TargetMode="External"/><Relationship Id="rId25" Type="http://schemas.openxmlformats.org/officeDocument/2006/relationships/hyperlink" Target="mailto:cmcdonald@fpconservatory.org" TargetMode="External"/><Relationship Id="rId26" Type="http://schemas.openxmlformats.org/officeDocument/2006/relationships/hyperlink" Target="mailto:kdevlin@impactca.org%20%26%20jkessler@impactca.org" TargetMode="External"/><Relationship Id="rId27" Type="http://schemas.openxmlformats.org/officeDocument/2006/relationships/hyperlink" Target="mailto:renecoats@aol.com" TargetMode="External"/><Relationship Id="rId28" Type="http://schemas.openxmlformats.org/officeDocument/2006/relationships/hyperlink" Target="mailto:bartleju@gmail.com" TargetMode="External"/><Relationship Id="rId29" Type="http://schemas.openxmlformats.org/officeDocument/2006/relationships/hyperlink" Target="mailto:kbe@gmx.us" TargetMode="External"/><Relationship Id="rId30" Type="http://schemas.openxmlformats.org/officeDocument/2006/relationships/hyperlink" Target="mailto:aleber@gmail.com" TargetMode="External"/><Relationship Id="rId31" Type="http://schemas.openxmlformats.org/officeDocument/2006/relationships/hyperlink" Target="mailto:thurley@grovecityohio.gov" TargetMode="External"/><Relationship Id="rId32" Type="http://schemas.openxmlformats.org/officeDocument/2006/relationships/hyperlink" Target="mailto:david.celebrezze@westerville.org" TargetMode="External"/><Relationship Id="rId33" Type="http://schemas.openxmlformats.org/officeDocument/2006/relationships/hyperlink" Target="mailto:lucilletoth2@gmail.com" TargetMode="External"/><Relationship Id="rId34" Type="http://schemas.openxmlformats.org/officeDocument/2006/relationships/hyperlink" Target="mailto:layla.abraham@epa.ohio.gov" TargetMode="External"/><Relationship Id="rId35" Type="http://schemas.openxmlformats.org/officeDocument/2006/relationships/hyperlink" Target="mailto:djohnson@morpc.org" TargetMode="External"/><Relationship Id="rId36" Type="http://schemas.openxmlformats.org/officeDocument/2006/relationships/hyperlink" Target="mailto:kmatson@morpc.org" TargetMode="External"/><Relationship Id="rId37" Type="http://schemas.openxmlformats.org/officeDocument/2006/relationships/hyperlink" Target="mailto:msheiderer@morpc.org" TargetMode="External"/><Relationship Id="rId38" Type="http://schemas.openxmlformats.org/officeDocument/2006/relationships/hyperlink" Target="mailto:david.celebrezze@westerville.org" TargetMode="External"/><Relationship Id="rId39" Type="http://schemas.openxmlformats.org/officeDocument/2006/relationships/hyperlink" Target="mailto:kmuenster@ncusolutions.com" TargetMode="External"/><Relationship Id="rId40" Type="http://schemas.openxmlformats.org/officeDocument/2006/relationships/hyperlink" Target="mailto:hollyrast@franklincountyohio.gov" TargetMode="External"/><Relationship Id="rId41" Type="http://schemas.openxmlformats.org/officeDocument/2006/relationships/hyperlink" Target="mailto:amancz@morpc.org" TargetMode="External"/><Relationship Id="rId42" Type="http://schemas.openxmlformats.org/officeDocument/2006/relationships/hyperlink" Target="mailto:hanna.94@osu.edu" TargetMode="External"/><Relationship Id="rId43" Type="http://schemas.openxmlformats.org/officeDocument/2006/relationships/hyperlink" Target="mailto:mpnpvu@gmail.com" TargetMode="External"/><Relationship Id="rId44" Type="http://schemas.openxmlformats.org/officeDocument/2006/relationships/hyperlink" Target="mailto:wmurdock@morpc.org" TargetMode="External"/><Relationship Id="rId45" Type="http://schemas.openxmlformats.org/officeDocument/2006/relationships/hyperlink" Target="mailto:john.s.esterly@gmail.com" TargetMode="External"/><Relationship Id="rId46" Type="http://schemas.openxmlformats.org/officeDocument/2006/relationships/hyperlink" Target="mailto:bwhetstone@morpc.org" TargetMode="External"/><Relationship Id="rId47" Type="http://schemas.openxmlformats.org/officeDocument/2006/relationships/hyperlink" Target="mailto:ellienowels@gmail.com" TargetMode="External"/><Relationship Id="rId48" Type="http://schemas.openxmlformats.org/officeDocument/2006/relationships/hyperlink" Target="mailto:kdevlin@impactca.org" TargetMode="External"/><Relationship Id="rId49" Type="http://schemas.openxmlformats.org/officeDocument/2006/relationships/hyperlink" Target="mailto:rachaeln.be@gmail.com" TargetMode="External"/><Relationship Id="rId50" Type="http://schemas.openxmlformats.org/officeDocument/2006/relationships/hyperlink" Target="mailto:jjewell@prairietownship.org" TargetMode="External"/><Relationship Id="rId51" Type="http://schemas.openxmlformats.org/officeDocument/2006/relationships/hyperlink" Target="mailto:mack.parks@gmail.com" TargetMode="External"/><Relationship Id="rId52" Type="http://schemas.openxmlformats.org/officeDocument/2006/relationships/hyperlink" Target="mailto:pkennedy@columbusairports.com" TargetMode="External"/><Relationship Id="rId53" Type="http://schemas.openxmlformats.org/officeDocument/2006/relationships/hyperlink" Target="mailto:djroseman@msn.com" TargetMode="External"/><Relationship Id="rId54" Type="http://schemas.openxmlformats.org/officeDocument/2006/relationships/hyperlink" Target="mailto:1865jmc@gmail.com" TargetMode="External"/><Relationship Id="rId55" Type="http://schemas.openxmlformats.org/officeDocument/2006/relationships/hyperlink" Target="mailto:coss.31@osu.edu" TargetMode="External"/><Relationship Id="rId56" Type="http://schemas.openxmlformats.org/officeDocument/2006/relationships/hyperlink" Target="mailto:allegra@thefortinc.com" TargetMode="External"/><Relationship Id="rId57" Type="http://schemas.openxmlformats.org/officeDocument/2006/relationships/hyperlink" Target="mailto:paul@highlandyouthgarden.org" TargetMode="External"/><Relationship Id="rId58" Type="http://schemas.openxmlformats.org/officeDocument/2006/relationships/hyperlink" Target="mailto:jdpolarbear@gmail.com" TargetMode="External"/><Relationship Id="rId59" Type="http://schemas.openxmlformats.org/officeDocument/2006/relationships/hyperlink" Target="mailto:jjewell@prairietownship.org" TargetMode="External"/><Relationship Id="rId60" Type="http://schemas.openxmlformats.org/officeDocument/2006/relationships/hyperlink" Target="mailto:nick.stanich@franklintonfarms.org" TargetMode="External"/><Relationship Id="rId61" Type="http://schemas.openxmlformats.org/officeDocument/2006/relationships/hyperlink" Target="mailto:1jppburke@gmail.com" TargetMode="External"/><Relationship Id="rId62" Type="http://schemas.openxmlformats.org/officeDocument/2006/relationships/hyperlink" Target="mailto:columbus_southpaw@yahoo.com" TargetMode="External"/><Relationship Id="rId63" Type="http://schemas.openxmlformats.org/officeDocument/2006/relationships/hyperlink" Target="mailto:hankem1@live.com" TargetMode="External"/><Relationship Id="rId64" Type="http://schemas.openxmlformats.org/officeDocument/2006/relationships/hyperlink" Target="mailto:nickiemillington@gmail.com" TargetMode="External"/><Relationship Id="rId65" Type="http://schemas.openxmlformats.org/officeDocument/2006/relationships/hyperlink" Target="mailto:ggluvsfla@gmail.com" TargetMode="External"/><Relationship Id="rId66" Type="http://schemas.openxmlformats.org/officeDocument/2006/relationships/hyperlink" Target="mailto:laylaabraham@franklincountyohio.gov" TargetMode="External"/><Relationship Id="rId67" Type="http://schemas.openxmlformats.org/officeDocument/2006/relationships/hyperlink" Target="mailto:kelsey.bartholomew@gahanna.gov" TargetMode="External"/><Relationship Id="rId68" Type="http://schemas.openxmlformats.org/officeDocument/2006/relationships/hyperlink" Target="mailto:mdiazhernandez@morpc.org" TargetMode="Externa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3.xml"/><Relationship Id="rId3"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hyperlink" Target="https://www.google.com/maps/d/edit?hl=en&amp;hl=en&amp;mid=1K1EHvdKbWaSVJ6bSEk0Gi2y4etZga1ga&amp;ll=40.022036292738534%2C-82.97500179848956&amp;z=11" TargetMode="External"/><Relationship Id="rId2" Type="http://schemas.openxmlformats.org/officeDocument/2006/relationships/hyperlink" Target="mailto:shoemakerd@wcsrams.org" TargetMode="External"/><Relationship Id="rId3" Type="http://schemas.openxmlformats.org/officeDocument/2006/relationships/hyperlink" Target="mailto:bflycook@aol.com" TargetMode="External"/><Relationship Id="rId4" Type="http://schemas.openxmlformats.org/officeDocument/2006/relationships/hyperlink" Target="mailto:CMScannell@columbus.gov" TargetMode="Externa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5" colorId="64" zoomScale="100" zoomScaleNormal="100" zoomScalePageLayoutView="100" workbookViewId="0">
      <selection pane="topLeft" activeCell="B8" activeCellId="0" sqref="B8"/>
    </sheetView>
  </sheetViews>
  <sheetFormatPr defaultColWidth="12.42578125" defaultRowHeight="12.75" zeroHeight="false" outlineLevelRow="0" outlineLevelCol="0"/>
  <cols>
    <col collapsed="false" customWidth="true" hidden="false" outlineLevel="0" max="1" min="1" style="0" width="25.14"/>
    <col collapsed="false" customWidth="true" hidden="false" outlineLevel="0" max="2" min="2" style="0" width="74.29"/>
    <col collapsed="false" customWidth="true" hidden="false" outlineLevel="0" max="3" min="3" style="0" width="83.85"/>
  </cols>
  <sheetData>
    <row r="1" customFormat="false" ht="12.75" hidden="false" customHeight="false" outlineLevel="0" collapsed="false">
      <c r="A1" s="1" t="s">
        <v>0</v>
      </c>
      <c r="B1" s="1" t="s">
        <v>1</v>
      </c>
      <c r="C1" s="1" t="s">
        <v>2</v>
      </c>
    </row>
    <row r="2" customFormat="false" ht="35.05" hidden="false" customHeight="false" outlineLevel="0" collapsed="false">
      <c r="A2" s="2" t="s">
        <v>3</v>
      </c>
      <c r="B2" s="3" t="s">
        <v>4</v>
      </c>
    </row>
    <row r="3" customFormat="false" ht="46.25" hidden="false" customHeight="false" outlineLevel="0" collapsed="false">
      <c r="A3" s="2" t="s">
        <v>5</v>
      </c>
      <c r="B3" s="3" t="s">
        <v>6</v>
      </c>
    </row>
    <row r="4" customFormat="false" ht="23.85" hidden="false" customHeight="false" outlineLevel="0" collapsed="false">
      <c r="A4" s="0" t="s">
        <v>7</v>
      </c>
      <c r="B4" s="4" t="s">
        <v>8</v>
      </c>
    </row>
    <row r="5" customFormat="false" ht="46.25" hidden="false" customHeight="false" outlineLevel="0" collapsed="false">
      <c r="A5" s="2" t="s">
        <v>9</v>
      </c>
      <c r="B5" s="3" t="s">
        <v>10</v>
      </c>
    </row>
    <row r="6" customFormat="false" ht="57.45" hidden="false" customHeight="false" outlineLevel="0" collapsed="false">
      <c r="A6" s="2" t="s">
        <v>11</v>
      </c>
      <c r="B6" s="3" t="s">
        <v>12</v>
      </c>
    </row>
    <row r="7" customFormat="false" ht="35.05" hidden="false" customHeight="false" outlineLevel="0" collapsed="false">
      <c r="A7" s="2" t="s">
        <v>13</v>
      </c>
      <c r="B7" s="3" t="s">
        <v>14</v>
      </c>
    </row>
    <row r="8" customFormat="false" ht="35.05" hidden="false" customHeight="false" outlineLevel="0" collapsed="false">
      <c r="A8" s="2" t="s">
        <v>15</v>
      </c>
      <c r="B8" s="3" t="s">
        <v>16</v>
      </c>
    </row>
    <row r="9" customFormat="false" ht="57.45" hidden="false" customHeight="false" outlineLevel="0" collapsed="false">
      <c r="A9" s="0" t="s">
        <v>17</v>
      </c>
      <c r="B9" s="4" t="s">
        <v>18</v>
      </c>
      <c r="C9" s="4" t="s">
        <v>19</v>
      </c>
    </row>
    <row r="10" customFormat="false" ht="12.75" hidden="false" customHeight="false" outlineLevel="0" collapsed="false">
      <c r="A10" s="2" t="s">
        <v>20</v>
      </c>
      <c r="B10" s="3" t="s">
        <v>21</v>
      </c>
    </row>
  </sheetData>
  <printOptions headings="false" gridLines="false" gridLinesSet="true" horizontalCentered="false" verticalCentered="false"/>
  <pageMargins left="0" right="0" top="0" bottom="0"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4" activeCellId="0" sqref="F4"/>
    </sheetView>
  </sheetViews>
  <sheetFormatPr defaultColWidth="8.6796875" defaultRowHeight="12.75" zeroHeight="false" outlineLevelRow="0" outlineLevelCol="0"/>
  <cols>
    <col collapsed="false" customWidth="true" hidden="false" outlineLevel="0" max="1" min="1" style="0" width="11.29"/>
    <col collapsed="false" customWidth="true" hidden="false" outlineLevel="0" max="2" min="2" style="0" width="19.71"/>
    <col collapsed="false" customWidth="true" hidden="false" outlineLevel="0" max="3" min="3" style="0" width="5.42"/>
    <col collapsed="false" customWidth="true" hidden="false" outlineLevel="0" max="4" min="4" style="0" width="6.29"/>
    <col collapsed="false" customWidth="true" hidden="false" outlineLevel="0" max="5" min="5" style="0" width="22.42"/>
    <col collapsed="false" customWidth="true" hidden="false" outlineLevel="0" max="6" min="6" style="0" width="41.42"/>
    <col collapsed="false" customWidth="true" hidden="false" outlineLevel="0" max="7" min="7" style="0" width="48.42"/>
    <col collapsed="false" customWidth="true" hidden="false" outlineLevel="0" max="8" min="8" style="0" width="18.29"/>
  </cols>
  <sheetData>
    <row r="1" customFormat="false" ht="12.75" hidden="false" customHeight="false" outlineLevel="0" collapsed="false">
      <c r="A1" s="0" t="s">
        <v>22</v>
      </c>
      <c r="B1" s="0" t="s">
        <v>23</v>
      </c>
      <c r="C1" s="0" t="s">
        <v>24</v>
      </c>
      <c r="D1" s="0" t="s">
        <v>25</v>
      </c>
      <c r="E1" s="0" t="s">
        <v>26</v>
      </c>
      <c r="F1" s="0" t="s">
        <v>27</v>
      </c>
      <c r="G1" s="0" t="s">
        <v>28</v>
      </c>
      <c r="H1" s="0" t="s">
        <v>29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3: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4" activeCellId="0" sqref="C4"/>
    </sheetView>
  </sheetViews>
  <sheetFormatPr defaultColWidth="8.6796875" defaultRowHeight="12.75" zeroHeight="false" outlineLevelRow="0" outlineLevelCol="0"/>
  <cols>
    <col collapsed="false" customWidth="true" hidden="false" outlineLevel="0" max="4" min="4" style="0" width="33.57"/>
    <col collapsed="false" customWidth="true" hidden="false" outlineLevel="0" max="5" min="5" style="0" width="15.57"/>
    <col collapsed="false" customWidth="true" hidden="false" outlineLevel="0" max="6" min="6" style="0" width="23.14"/>
  </cols>
  <sheetData>
    <row r="3" customFormat="false" ht="12.75" hidden="false" customHeight="false" outlineLevel="0" collapsed="false">
      <c r="D3" s="5" t="s">
        <v>5</v>
      </c>
      <c r="E3" s="5" t="s">
        <v>30</v>
      </c>
      <c r="F3" s="6" t="s">
        <v>9</v>
      </c>
    </row>
    <row r="4" customFormat="false" ht="13.8" hidden="false" customHeight="false" outlineLevel="0" collapsed="false">
      <c r="C4" s="7" t="s">
        <v>31</v>
      </c>
      <c r="D4" s="6" t="s">
        <v>32</v>
      </c>
      <c r="E4" s="6" t="s">
        <v>32</v>
      </c>
      <c r="F4" s="2" t="s">
        <v>33</v>
      </c>
    </row>
    <row r="5" customFormat="false" ht="13.8" hidden="false" customHeight="false" outlineLevel="0" collapsed="false">
      <c r="C5" s="8" t="s">
        <v>34</v>
      </c>
      <c r="D5" s="6" t="s">
        <v>35</v>
      </c>
      <c r="E5" s="6" t="s">
        <v>36</v>
      </c>
      <c r="F5" s="2" t="s">
        <v>37</v>
      </c>
    </row>
    <row r="6" customFormat="false" ht="13.8" hidden="false" customHeight="false" outlineLevel="0" collapsed="false">
      <c r="C6" s="9" t="s">
        <v>38</v>
      </c>
      <c r="D6" s="6" t="s">
        <v>39</v>
      </c>
      <c r="E6" s="6" t="s">
        <v>40</v>
      </c>
      <c r="F6" s="2" t="s">
        <v>41</v>
      </c>
    </row>
    <row r="7" customFormat="false" ht="13.8" hidden="false" customHeight="false" outlineLevel="0" collapsed="false">
      <c r="C7" s="10" t="s">
        <v>42</v>
      </c>
      <c r="D7" s="6" t="s">
        <v>43</v>
      </c>
      <c r="F7" s="2" t="s">
        <v>44</v>
      </c>
    </row>
    <row r="8" customFormat="false" ht="13.8" hidden="false" customHeight="false" outlineLevel="0" collapsed="false">
      <c r="C8" s="11" t="s">
        <v>45</v>
      </c>
      <c r="D8" s="6" t="s">
        <v>46</v>
      </c>
      <c r="F8" s="2" t="s">
        <v>47</v>
      </c>
    </row>
  </sheetData>
  <conditionalFormatting sqref="C45:C55 C62:C1048576 C1:C3 C9:C43">
    <cfRule type="duplicateValues" priority="2" aboveAverage="0" equalAverage="0" bottom="0" percent="0" rank="0" text="" dxfId="0"/>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0485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0" topLeftCell="E1" activePane="topRight" state="frozen"/>
      <selection pane="topLeft" activeCell="A1" activeCellId="0" sqref="A1"/>
      <selection pane="topRight" activeCell="F58" activeCellId="0" sqref="F58"/>
    </sheetView>
  </sheetViews>
  <sheetFormatPr defaultColWidth="12.42578125" defaultRowHeight="15.75" zeroHeight="false" outlineLevelRow="0" outlineLevelCol="0"/>
  <cols>
    <col collapsed="false" customWidth="true" hidden="false" outlineLevel="0" max="1" min="1" style="12" width="18.42"/>
    <col collapsed="false" customWidth="true" hidden="false" outlineLevel="0" max="2" min="2" style="13" width="24.29"/>
    <col collapsed="false" customWidth="true" hidden="false" outlineLevel="0" max="3" min="3" style="13" width="25.14"/>
    <col collapsed="false" customWidth="true" hidden="false" outlineLevel="0" max="4" min="4" style="13" width="33.57"/>
    <col collapsed="false" customWidth="true" hidden="false" outlineLevel="0" max="5" min="5" style="13" width="44.71"/>
    <col collapsed="false" customWidth="true" hidden="false" outlineLevel="0" max="6" min="6" style="13" width="29.29"/>
    <col collapsed="false" customWidth="true" hidden="false" outlineLevel="0" max="7" min="7" style="13" width="60.29"/>
    <col collapsed="false" customWidth="true" hidden="false" outlineLevel="0" max="8" min="8" style="13" width="87.57"/>
    <col collapsed="false" customWidth="true" hidden="false" outlineLevel="0" max="9" min="9" style="13" width="17.71"/>
    <col collapsed="false" customWidth="true" hidden="false" outlineLevel="0" max="10" min="10" style="13" width="16.85"/>
    <col collapsed="false" customWidth="true" hidden="false" outlineLevel="0" max="11" min="11" style="13" width="25.71"/>
    <col collapsed="false" customWidth="true" hidden="false" outlineLevel="0" max="12" min="12" style="13" width="16"/>
    <col collapsed="false" customWidth="false" hidden="false" outlineLevel="0" max="13" min="13" style="13" width="12.42"/>
    <col collapsed="false" customWidth="true" hidden="false" outlineLevel="0" max="14" min="14" style="13" width="7.29"/>
    <col collapsed="false" customWidth="true" hidden="false" outlineLevel="0" max="15" min="15" style="13" width="33.57"/>
    <col collapsed="false" customWidth="false" hidden="false" outlineLevel="0" max="16384" min="16" style="13" width="12.42"/>
  </cols>
  <sheetData>
    <row r="1" customFormat="false" ht="44" hidden="false" customHeight="false" outlineLevel="0" collapsed="false">
      <c r="A1" s="14" t="s">
        <v>48</v>
      </c>
      <c r="B1" s="15" t="s">
        <v>49</v>
      </c>
      <c r="C1" s="15" t="s">
        <v>50</v>
      </c>
      <c r="D1" s="15" t="s">
        <v>51</v>
      </c>
      <c r="E1" s="15" t="s">
        <v>52</v>
      </c>
      <c r="F1" s="16" t="s">
        <v>53</v>
      </c>
      <c r="G1" s="16" t="s">
        <v>54</v>
      </c>
      <c r="H1" s="15" t="s">
        <v>55</v>
      </c>
      <c r="I1" s="15" t="s">
        <v>56</v>
      </c>
      <c r="J1" s="17" t="s">
        <v>57</v>
      </c>
      <c r="K1" s="15" t="s">
        <v>58</v>
      </c>
      <c r="L1" s="18"/>
      <c r="M1" s="19"/>
      <c r="N1" s="19"/>
      <c r="O1" s="19"/>
      <c r="P1" s="19"/>
      <c r="Q1" s="19"/>
      <c r="R1" s="19"/>
      <c r="S1" s="19"/>
      <c r="T1" s="19"/>
      <c r="U1" s="20"/>
      <c r="V1" s="20"/>
      <c r="W1" s="20"/>
      <c r="X1" s="20"/>
      <c r="Y1" s="20"/>
      <c r="Z1" s="20"/>
      <c r="AA1" s="20"/>
      <c r="AB1" s="20"/>
      <c r="AC1" s="20"/>
      <c r="AD1" s="20"/>
      <c r="AE1" s="20"/>
      <c r="AF1" s="20"/>
      <c r="AG1" s="20"/>
      <c r="AH1" s="20"/>
      <c r="AI1" s="20"/>
      <c r="AJ1" s="20"/>
    </row>
    <row r="2" customFormat="false" ht="15.75" hidden="false" customHeight="false" outlineLevel="0" collapsed="false">
      <c r="A2" s="21" t="s">
        <v>59</v>
      </c>
      <c r="B2" s="22" t="s">
        <v>60</v>
      </c>
      <c r="C2" s="22" t="s">
        <v>61</v>
      </c>
      <c r="D2" s="22" t="s">
        <v>39</v>
      </c>
      <c r="E2" s="22" t="s">
        <v>62</v>
      </c>
      <c r="F2" s="23" t="n">
        <v>43943</v>
      </c>
      <c r="G2" s="24" t="s">
        <v>63</v>
      </c>
      <c r="H2" s="24"/>
      <c r="I2" s="24"/>
      <c r="J2" s="24"/>
      <c r="K2" s="24"/>
      <c r="L2" s="20"/>
      <c r="M2" s="20"/>
      <c r="N2" s="20"/>
      <c r="O2" s="25" t="s">
        <v>64</v>
      </c>
    </row>
    <row r="3" customFormat="false" ht="15.75" hidden="false" customHeight="false" outlineLevel="0" collapsed="false">
      <c r="A3" s="21" t="s">
        <v>65</v>
      </c>
      <c r="B3" s="22" t="s">
        <v>60</v>
      </c>
      <c r="C3" s="22" t="s">
        <v>66</v>
      </c>
      <c r="D3" s="22" t="s">
        <v>46</v>
      </c>
      <c r="E3" s="22" t="s">
        <v>62</v>
      </c>
      <c r="F3" s="23" t="n">
        <v>43978</v>
      </c>
      <c r="G3" s="20"/>
      <c r="H3" s="20" t="s">
        <v>67</v>
      </c>
      <c r="I3" s="20"/>
      <c r="J3" s="20"/>
      <c r="K3" s="20"/>
      <c r="L3" s="20"/>
      <c r="M3" s="20"/>
      <c r="N3" s="20"/>
      <c r="O3" s="26" t="s">
        <v>35</v>
      </c>
    </row>
    <row r="4" customFormat="false" ht="15.75" hidden="false" customHeight="false" outlineLevel="0" collapsed="false">
      <c r="A4" s="21" t="s">
        <v>68</v>
      </c>
      <c r="B4" s="22" t="s">
        <v>60</v>
      </c>
      <c r="C4" s="22" t="s">
        <v>69</v>
      </c>
      <c r="D4" s="27" t="s">
        <v>70</v>
      </c>
      <c r="E4" s="22" t="s">
        <v>71</v>
      </c>
      <c r="F4" s="23" t="n">
        <v>43945</v>
      </c>
      <c r="G4" s="20" t="s">
        <v>72</v>
      </c>
      <c r="H4" s="28" t="s">
        <v>73</v>
      </c>
      <c r="I4" s="20"/>
      <c r="J4" s="20"/>
      <c r="K4" s="20"/>
      <c r="L4" s="20"/>
      <c r="M4" s="20"/>
      <c r="N4" s="20"/>
      <c r="O4" s="29" t="s">
        <v>43</v>
      </c>
    </row>
    <row r="5" customFormat="false" ht="15.75" hidden="false" customHeight="false" outlineLevel="0" collapsed="false">
      <c r="A5" s="30" t="s">
        <v>74</v>
      </c>
      <c r="B5" s="31" t="s">
        <v>60</v>
      </c>
      <c r="C5" s="31" t="s">
        <v>75</v>
      </c>
      <c r="D5" s="31" t="s">
        <v>46</v>
      </c>
      <c r="E5" s="31" t="s">
        <v>76</v>
      </c>
      <c r="F5" s="32" t="n">
        <v>43927</v>
      </c>
      <c r="G5" s="33"/>
      <c r="H5" s="33" t="s">
        <v>77</v>
      </c>
      <c r="I5" s="33"/>
      <c r="J5" s="33"/>
      <c r="K5" s="33"/>
      <c r="M5" s="20"/>
      <c r="N5" s="20"/>
      <c r="O5" s="34" t="s">
        <v>46</v>
      </c>
    </row>
    <row r="6" customFormat="false" ht="15.75" hidden="false" customHeight="false" outlineLevel="0" collapsed="false">
      <c r="A6" s="21" t="s">
        <v>78</v>
      </c>
      <c r="B6" s="22" t="s">
        <v>60</v>
      </c>
      <c r="C6" s="22" t="s">
        <v>79</v>
      </c>
      <c r="D6" s="22" t="s">
        <v>39</v>
      </c>
      <c r="E6" s="22" t="s">
        <v>62</v>
      </c>
      <c r="F6" s="23" t="n">
        <v>43921</v>
      </c>
      <c r="G6" s="20" t="s">
        <v>80</v>
      </c>
      <c r="H6" s="20"/>
      <c r="I6" s="20"/>
      <c r="J6" s="20"/>
      <c r="K6" s="20"/>
      <c r="M6" s="20"/>
      <c r="N6" s="20"/>
      <c r="O6" s="35" t="s">
        <v>39</v>
      </c>
    </row>
    <row r="7" customFormat="false" ht="15.75" hidden="false" customHeight="false" outlineLevel="0" collapsed="false">
      <c r="A7" s="21" t="s">
        <v>81</v>
      </c>
      <c r="B7" s="22" t="s">
        <v>60</v>
      </c>
      <c r="C7" s="22" t="s">
        <v>82</v>
      </c>
      <c r="D7" s="22" t="s">
        <v>32</v>
      </c>
      <c r="E7" s="22" t="s">
        <v>83</v>
      </c>
      <c r="F7" s="36" t="n">
        <v>44464</v>
      </c>
      <c r="G7" s="20"/>
      <c r="H7" s="20"/>
      <c r="I7" s="20"/>
      <c r="J7" s="20"/>
      <c r="K7" s="20"/>
      <c r="L7" s="37"/>
      <c r="M7" s="20"/>
      <c r="N7" s="20"/>
      <c r="O7" s="38" t="s">
        <v>32</v>
      </c>
      <c r="P7" s="37"/>
      <c r="Q7" s="37"/>
      <c r="R7" s="37"/>
      <c r="S7" s="37"/>
      <c r="T7" s="37"/>
      <c r="U7" s="37"/>
      <c r="V7" s="37"/>
      <c r="W7" s="37"/>
      <c r="X7" s="37"/>
      <c r="Y7" s="37"/>
      <c r="Z7" s="37"/>
      <c r="AA7" s="37"/>
      <c r="AB7" s="37"/>
      <c r="AC7" s="37"/>
      <c r="AD7" s="37"/>
      <c r="AE7" s="37"/>
      <c r="AF7" s="37"/>
      <c r="AG7" s="37"/>
      <c r="AH7" s="37"/>
      <c r="AI7" s="37"/>
      <c r="AJ7" s="37"/>
    </row>
    <row r="8" customFormat="false" ht="15.75" hidden="false" customHeight="false" outlineLevel="0" collapsed="false">
      <c r="A8" s="21" t="s">
        <v>84</v>
      </c>
      <c r="B8" s="22" t="s">
        <v>60</v>
      </c>
      <c r="C8" s="22" t="s">
        <v>85</v>
      </c>
      <c r="D8" s="22" t="s">
        <v>32</v>
      </c>
      <c r="E8" s="22" t="s">
        <v>86</v>
      </c>
      <c r="F8" s="22" t="s">
        <v>87</v>
      </c>
      <c r="G8" s="20"/>
      <c r="H8" s="28"/>
      <c r="I8" s="20"/>
      <c r="J8" s="20"/>
      <c r="K8" s="20"/>
      <c r="L8" s="37"/>
      <c r="M8" s="20"/>
      <c r="N8" s="20"/>
      <c r="O8" s="39" t="s">
        <v>70</v>
      </c>
      <c r="P8" s="37"/>
      <c r="Q8" s="37"/>
      <c r="R8" s="37"/>
      <c r="S8" s="37"/>
      <c r="T8" s="37"/>
      <c r="U8" s="37"/>
      <c r="V8" s="37"/>
      <c r="W8" s="37"/>
      <c r="X8" s="37"/>
      <c r="Y8" s="37"/>
      <c r="Z8" s="37"/>
      <c r="AA8" s="37"/>
      <c r="AB8" s="37"/>
      <c r="AC8" s="37"/>
      <c r="AD8" s="37"/>
      <c r="AE8" s="37"/>
      <c r="AF8" s="37"/>
      <c r="AG8" s="37"/>
      <c r="AH8" s="37"/>
      <c r="AI8" s="37"/>
      <c r="AJ8" s="37"/>
    </row>
    <row r="9" customFormat="false" ht="15.75" hidden="false" customHeight="false" outlineLevel="0" collapsed="false">
      <c r="A9" s="21" t="s">
        <v>88</v>
      </c>
      <c r="B9" s="22" t="s">
        <v>60</v>
      </c>
      <c r="C9" s="22" t="s">
        <v>89</v>
      </c>
      <c r="D9" s="27" t="s">
        <v>70</v>
      </c>
      <c r="E9" s="22" t="s">
        <v>62</v>
      </c>
      <c r="F9" s="22"/>
      <c r="G9" s="20" t="s">
        <v>90</v>
      </c>
      <c r="H9" s="28" t="s">
        <v>91</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row>
    <row r="10" customFormat="false" ht="15.75" hidden="false" customHeight="false" outlineLevel="0" collapsed="false">
      <c r="A10" s="21" t="s">
        <v>92</v>
      </c>
      <c r="B10" s="22" t="s">
        <v>60</v>
      </c>
      <c r="C10" s="22" t="s">
        <v>93</v>
      </c>
      <c r="D10" s="22" t="s">
        <v>43</v>
      </c>
      <c r="E10" s="22" t="s">
        <v>62</v>
      </c>
      <c r="F10" s="22"/>
      <c r="G10" s="20" t="s">
        <v>94</v>
      </c>
      <c r="H10" s="28"/>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row>
    <row r="11" customFormat="false" ht="15.75" hidden="false" customHeight="false" outlineLevel="0" collapsed="false">
      <c r="A11" s="21" t="s">
        <v>95</v>
      </c>
      <c r="B11" s="22" t="s">
        <v>60</v>
      </c>
      <c r="C11" s="22" t="s">
        <v>96</v>
      </c>
      <c r="D11" s="22" t="s">
        <v>43</v>
      </c>
      <c r="E11" s="22" t="s">
        <v>97</v>
      </c>
      <c r="F11" s="40" t="n">
        <v>44420</v>
      </c>
      <c r="G11" s="20" t="s">
        <v>98</v>
      </c>
      <c r="H11" s="28" t="s">
        <v>99</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row>
    <row r="12" customFormat="false" ht="15.75" hidden="false" customHeight="false" outlineLevel="0" collapsed="false">
      <c r="A12" s="21" t="s">
        <v>100</v>
      </c>
      <c r="B12" s="22" t="s">
        <v>60</v>
      </c>
      <c r="C12" s="22" t="s">
        <v>101</v>
      </c>
      <c r="D12" s="27" t="s">
        <v>70</v>
      </c>
      <c r="E12" s="22" t="s">
        <v>62</v>
      </c>
      <c r="F12" s="22"/>
      <c r="G12" s="20" t="s">
        <v>102</v>
      </c>
      <c r="H12" s="28" t="s">
        <v>103</v>
      </c>
      <c r="I12" s="20"/>
      <c r="J12" s="20"/>
      <c r="K12" s="20"/>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row>
    <row r="13" customFormat="false" ht="15.75" hidden="false" customHeight="false" outlineLevel="0" collapsed="false">
      <c r="A13" s="21" t="s">
        <v>104</v>
      </c>
      <c r="B13" s="22" t="s">
        <v>60</v>
      </c>
      <c r="C13" s="22" t="s">
        <v>105</v>
      </c>
      <c r="D13" s="22" t="s">
        <v>32</v>
      </c>
      <c r="E13" s="22" t="s">
        <v>106</v>
      </c>
      <c r="F13" s="22"/>
      <c r="G13" s="20"/>
      <c r="H13" s="28"/>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row>
    <row r="14" customFormat="false" ht="15.75" hidden="false" customHeight="false" outlineLevel="0" collapsed="false">
      <c r="A14" s="21" t="s">
        <v>107</v>
      </c>
      <c r="B14" s="22" t="s">
        <v>60</v>
      </c>
      <c r="C14" s="22" t="s">
        <v>108</v>
      </c>
      <c r="D14" s="22" t="s">
        <v>43</v>
      </c>
      <c r="E14" s="22" t="s">
        <v>62</v>
      </c>
      <c r="F14" s="22"/>
      <c r="G14" s="28" t="s">
        <v>109</v>
      </c>
      <c r="H14" s="28" t="s">
        <v>110</v>
      </c>
      <c r="I14" s="28"/>
      <c r="J14" s="28"/>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row>
    <row r="15" customFormat="false" ht="15.75" hidden="false" customHeight="false" outlineLevel="0" collapsed="false">
      <c r="A15" s="21" t="s">
        <v>111</v>
      </c>
      <c r="B15" s="22" t="s">
        <v>60</v>
      </c>
      <c r="C15" s="22" t="s">
        <v>112</v>
      </c>
      <c r="D15" s="22" t="s">
        <v>32</v>
      </c>
      <c r="E15" s="22" t="s">
        <v>113</v>
      </c>
      <c r="F15" s="22"/>
      <c r="G15" s="20"/>
      <c r="H15" s="28"/>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row>
    <row r="16" customFormat="false" ht="15.75" hidden="false" customHeight="false" outlineLevel="0" collapsed="false">
      <c r="A16" s="21" t="s">
        <v>114</v>
      </c>
      <c r="B16" s="22" t="s">
        <v>60</v>
      </c>
      <c r="C16" s="22" t="s">
        <v>115</v>
      </c>
      <c r="D16" s="22" t="s">
        <v>43</v>
      </c>
      <c r="E16" s="22" t="s">
        <v>62</v>
      </c>
      <c r="F16" s="22"/>
      <c r="G16" s="20" t="s">
        <v>116</v>
      </c>
      <c r="H16" s="28"/>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row>
    <row r="17" customFormat="false" ht="15.75" hidden="false" customHeight="false" outlineLevel="0" collapsed="false">
      <c r="A17" s="21" t="s">
        <v>117</v>
      </c>
      <c r="B17" s="22" t="s">
        <v>60</v>
      </c>
      <c r="C17" s="22" t="s">
        <v>118</v>
      </c>
      <c r="D17" s="22" t="s">
        <v>46</v>
      </c>
      <c r="E17" s="22" t="s">
        <v>119</v>
      </c>
      <c r="F17" s="22"/>
      <c r="G17" s="20"/>
      <c r="H17" s="20" t="s">
        <v>120</v>
      </c>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row>
    <row r="18" customFormat="false" ht="15.75" hidden="false" customHeight="false" outlineLevel="0" collapsed="false">
      <c r="A18" s="21" t="s">
        <v>121</v>
      </c>
      <c r="B18" s="22" t="s">
        <v>60</v>
      </c>
      <c r="C18" s="22" t="s">
        <v>122</v>
      </c>
      <c r="D18" s="22" t="s">
        <v>32</v>
      </c>
      <c r="E18" s="22" t="s">
        <v>123</v>
      </c>
      <c r="F18" s="36" t="n">
        <v>44754</v>
      </c>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row>
    <row r="19" customFormat="false" ht="15.75" hidden="false" customHeight="false" outlineLevel="0" collapsed="false">
      <c r="A19" s="21" t="s">
        <v>124</v>
      </c>
      <c r="B19" s="22" t="s">
        <v>60</v>
      </c>
      <c r="C19" s="22" t="s">
        <v>125</v>
      </c>
      <c r="D19" s="27" t="s">
        <v>70</v>
      </c>
      <c r="E19" s="22" t="s">
        <v>62</v>
      </c>
      <c r="F19" s="22"/>
      <c r="G19" s="20" t="s">
        <v>126</v>
      </c>
      <c r="H19" s="41" t="s">
        <v>127</v>
      </c>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row>
    <row r="20" customFormat="false" ht="31.3" hidden="false" customHeight="false" outlineLevel="0" collapsed="false">
      <c r="A20" s="21" t="s">
        <v>128</v>
      </c>
      <c r="B20" s="22" t="s">
        <v>60</v>
      </c>
      <c r="C20" s="22" t="s">
        <v>129</v>
      </c>
      <c r="D20" s="22" t="s">
        <v>43</v>
      </c>
      <c r="E20" s="22" t="s">
        <v>62</v>
      </c>
      <c r="F20" s="22"/>
      <c r="G20" s="20" t="s">
        <v>72</v>
      </c>
      <c r="H20" s="42" t="s">
        <v>130</v>
      </c>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row>
    <row r="21" customFormat="false" ht="15.75" hidden="false" customHeight="false" outlineLevel="0" collapsed="false">
      <c r="A21" s="21" t="s">
        <v>131</v>
      </c>
      <c r="B21" s="22" t="s">
        <v>60</v>
      </c>
      <c r="C21" s="22" t="s">
        <v>132</v>
      </c>
      <c r="D21" s="22" t="s">
        <v>43</v>
      </c>
      <c r="E21" s="22" t="s">
        <v>62</v>
      </c>
      <c r="F21" s="22"/>
      <c r="G21" s="20" t="s">
        <v>133</v>
      </c>
      <c r="H21" s="41"/>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row>
    <row r="22" customFormat="false" ht="15.75" hidden="false" customHeight="false" outlineLevel="0" collapsed="false">
      <c r="A22" s="21" t="s">
        <v>134</v>
      </c>
      <c r="B22" s="22" t="s">
        <v>60</v>
      </c>
      <c r="C22" s="22" t="s">
        <v>135</v>
      </c>
      <c r="D22" s="22" t="s">
        <v>43</v>
      </c>
      <c r="E22" s="22" t="s">
        <v>36</v>
      </c>
      <c r="F22" s="22"/>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row>
    <row r="23" customFormat="false" ht="55.2" hidden="false" customHeight="false" outlineLevel="0" collapsed="false">
      <c r="A23" s="21" t="s">
        <v>136</v>
      </c>
      <c r="B23" s="22" t="s">
        <v>60</v>
      </c>
      <c r="C23" s="22" t="s">
        <v>137</v>
      </c>
      <c r="D23" s="22" t="s">
        <v>43</v>
      </c>
      <c r="E23" s="43" t="s">
        <v>138</v>
      </c>
      <c r="F23" s="44" t="n">
        <v>44832</v>
      </c>
      <c r="G23" s="45"/>
      <c r="H23" s="46" t="s">
        <v>139</v>
      </c>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row>
    <row r="24" customFormat="false" ht="15.75" hidden="false" customHeight="false" outlineLevel="0" collapsed="false">
      <c r="A24" s="21" t="s">
        <v>140</v>
      </c>
      <c r="B24" s="22" t="s">
        <v>60</v>
      </c>
      <c r="C24" s="22" t="s">
        <v>141</v>
      </c>
      <c r="D24" s="22" t="s">
        <v>32</v>
      </c>
      <c r="E24" s="22" t="s">
        <v>142</v>
      </c>
      <c r="F24" s="36" t="n">
        <v>44509</v>
      </c>
      <c r="G24" s="20"/>
      <c r="H24" s="20" t="s">
        <v>143</v>
      </c>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row>
    <row r="25" customFormat="false" ht="15.75" hidden="false" customHeight="false" outlineLevel="0" collapsed="false">
      <c r="A25" s="21" t="s">
        <v>144</v>
      </c>
      <c r="B25" s="22" t="s">
        <v>60</v>
      </c>
      <c r="C25" s="22" t="s">
        <v>145</v>
      </c>
      <c r="D25" s="22" t="s">
        <v>43</v>
      </c>
      <c r="E25" s="22" t="s">
        <v>146</v>
      </c>
      <c r="F25" s="22"/>
      <c r="G25" s="20" t="s">
        <v>147</v>
      </c>
      <c r="H25" s="20" t="s">
        <v>143</v>
      </c>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row>
    <row r="26" customFormat="false" ht="15.75" hidden="false" customHeight="false" outlineLevel="0" collapsed="false">
      <c r="A26" s="21" t="s">
        <v>148</v>
      </c>
      <c r="B26" s="22" t="s">
        <v>60</v>
      </c>
      <c r="C26" s="22" t="s">
        <v>149</v>
      </c>
      <c r="D26" s="22" t="s">
        <v>32</v>
      </c>
      <c r="E26" s="22" t="s">
        <v>150</v>
      </c>
      <c r="F26" s="22"/>
      <c r="G26" s="20"/>
      <c r="H26" s="20" t="s">
        <v>143</v>
      </c>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row>
    <row r="27" customFormat="false" ht="15.75" hidden="false" customHeight="false" outlineLevel="0" collapsed="false">
      <c r="A27" s="21" t="s">
        <v>151</v>
      </c>
      <c r="B27" s="22" t="s">
        <v>60</v>
      </c>
      <c r="C27" s="22" t="s">
        <v>152</v>
      </c>
      <c r="D27" s="22" t="s">
        <v>32</v>
      </c>
      <c r="E27" s="22" t="s">
        <v>153</v>
      </c>
      <c r="F27" s="36" t="n">
        <v>44509</v>
      </c>
      <c r="G27" s="20"/>
      <c r="H27" s="20" t="s">
        <v>143</v>
      </c>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row>
    <row r="28" customFormat="false" ht="15.75" hidden="false" customHeight="false" outlineLevel="0" collapsed="false">
      <c r="A28" s="21" t="s">
        <v>154</v>
      </c>
      <c r="B28" s="22" t="s">
        <v>60</v>
      </c>
      <c r="C28" s="22" t="s">
        <v>155</v>
      </c>
      <c r="D28" s="22" t="s">
        <v>32</v>
      </c>
      <c r="E28" s="22" t="s">
        <v>156</v>
      </c>
      <c r="F28" s="36" t="n">
        <v>44692</v>
      </c>
      <c r="G28" s="22"/>
      <c r="H28" s="24"/>
      <c r="I28" s="24"/>
      <c r="J28" s="24"/>
      <c r="K28" s="24"/>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row>
    <row r="29" customFormat="false" ht="15.75" hidden="false" customHeight="false" outlineLevel="0" collapsed="false">
      <c r="A29" s="21" t="s">
        <v>157</v>
      </c>
      <c r="B29" s="22" t="s">
        <v>60</v>
      </c>
      <c r="C29" s="22" t="s">
        <v>158</v>
      </c>
      <c r="D29" s="22" t="s">
        <v>32</v>
      </c>
      <c r="E29" s="22" t="s">
        <v>159</v>
      </c>
      <c r="F29" s="36" t="n">
        <v>44509</v>
      </c>
      <c r="G29" s="22"/>
      <c r="H29" s="24"/>
      <c r="I29" s="24"/>
      <c r="J29" s="24"/>
      <c r="K29" s="24"/>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row>
    <row r="30" customFormat="false" ht="15.75" hidden="false" customHeight="false" outlineLevel="0" collapsed="false">
      <c r="A30" s="21" t="s">
        <v>160</v>
      </c>
      <c r="B30" s="22" t="s">
        <v>60</v>
      </c>
      <c r="C30" s="22" t="s">
        <v>161</v>
      </c>
      <c r="D30" s="22" t="s">
        <v>43</v>
      </c>
      <c r="E30" s="22" t="s">
        <v>162</v>
      </c>
      <c r="F30" s="22"/>
      <c r="G30" s="22" t="s">
        <v>163</v>
      </c>
      <c r="H30" s="24"/>
      <c r="I30" s="24"/>
      <c r="J30" s="24"/>
      <c r="K30" s="24"/>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row>
    <row r="31" customFormat="false" ht="15.75" hidden="false" customHeight="false" outlineLevel="0" collapsed="false">
      <c r="A31" s="21" t="s">
        <v>164</v>
      </c>
      <c r="B31" s="22" t="s">
        <v>60</v>
      </c>
      <c r="C31" s="22" t="s">
        <v>165</v>
      </c>
      <c r="D31" s="22" t="s">
        <v>32</v>
      </c>
      <c r="E31" s="22" t="s">
        <v>166</v>
      </c>
      <c r="F31" s="36" t="n">
        <v>44673</v>
      </c>
      <c r="G31" s="22"/>
      <c r="H31" s="24"/>
      <c r="I31" s="24"/>
      <c r="J31" s="24"/>
      <c r="K31" s="24"/>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row>
    <row r="32" customFormat="false" ht="15.75" hidden="false" customHeight="false" outlineLevel="0" collapsed="false">
      <c r="A32" s="21" t="s">
        <v>167</v>
      </c>
      <c r="B32" s="22" t="s">
        <v>60</v>
      </c>
      <c r="C32" s="22" t="s">
        <v>168</v>
      </c>
      <c r="D32" s="22" t="s">
        <v>43</v>
      </c>
      <c r="E32" s="22" t="s">
        <v>169</v>
      </c>
      <c r="F32" s="22"/>
      <c r="G32" s="22" t="s">
        <v>170</v>
      </c>
      <c r="H32" s="24" t="s">
        <v>171</v>
      </c>
      <c r="I32" s="24"/>
      <c r="J32" s="24"/>
      <c r="K32" s="24"/>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row>
    <row r="33" customFormat="false" ht="15.75" hidden="false" customHeight="false" outlineLevel="0" collapsed="false">
      <c r="A33" s="21" t="s">
        <v>172</v>
      </c>
      <c r="B33" s="22" t="s">
        <v>60</v>
      </c>
      <c r="C33" s="22" t="s">
        <v>173</v>
      </c>
      <c r="D33" s="22" t="s">
        <v>32</v>
      </c>
      <c r="E33" s="22" t="s">
        <v>174</v>
      </c>
      <c r="F33" s="22"/>
      <c r="G33" s="22"/>
      <c r="H33" s="24"/>
      <c r="I33" s="24"/>
      <c r="J33" s="24"/>
      <c r="K33" s="24"/>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row>
    <row r="34" customFormat="false" ht="15.75" hidden="false" customHeight="false" outlineLevel="0" collapsed="false">
      <c r="A34" s="21" t="s">
        <v>175</v>
      </c>
      <c r="B34" s="22" t="s">
        <v>60</v>
      </c>
      <c r="C34" s="22" t="s">
        <v>176</v>
      </c>
      <c r="D34" s="22" t="s">
        <v>32</v>
      </c>
      <c r="E34" s="22" t="s">
        <v>177</v>
      </c>
      <c r="F34" s="22"/>
      <c r="G34" s="22"/>
      <c r="H34" s="24"/>
      <c r="I34" s="24"/>
      <c r="J34" s="24"/>
      <c r="K34" s="24"/>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row>
    <row r="35" customFormat="false" ht="15.75" hidden="false" customHeight="false" outlineLevel="0" collapsed="false">
      <c r="A35" s="21" t="s">
        <v>178</v>
      </c>
      <c r="B35" s="22" t="s">
        <v>60</v>
      </c>
      <c r="C35" s="22" t="s">
        <v>179</v>
      </c>
      <c r="D35" s="22" t="s">
        <v>43</v>
      </c>
      <c r="E35" s="22" t="s">
        <v>180</v>
      </c>
      <c r="F35" s="22"/>
      <c r="G35" s="22" t="s">
        <v>181</v>
      </c>
      <c r="H35" s="41"/>
      <c r="I35" s="24"/>
      <c r="J35" s="24"/>
      <c r="K35" s="24"/>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row>
    <row r="36" customFormat="false" ht="15.75" hidden="false" customHeight="false" outlineLevel="0" collapsed="false">
      <c r="A36" s="21" t="s">
        <v>182</v>
      </c>
      <c r="B36" s="22" t="s">
        <v>60</v>
      </c>
      <c r="C36" s="22" t="s">
        <v>183</v>
      </c>
      <c r="D36" s="22" t="s">
        <v>32</v>
      </c>
      <c r="E36" s="22" t="s">
        <v>184</v>
      </c>
      <c r="F36" s="22"/>
      <c r="G36" s="22"/>
      <c r="H36" s="24"/>
      <c r="I36" s="24"/>
      <c r="J36" s="24"/>
      <c r="K36" s="24"/>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row>
    <row r="37" customFormat="false" ht="15.75" hidden="false" customHeight="false" outlineLevel="0" collapsed="false">
      <c r="A37" s="21" t="s">
        <v>185</v>
      </c>
      <c r="B37" s="22" t="s">
        <v>60</v>
      </c>
      <c r="C37" s="22" t="s">
        <v>186</v>
      </c>
      <c r="D37" s="22" t="s">
        <v>32</v>
      </c>
      <c r="E37" s="22" t="s">
        <v>187</v>
      </c>
      <c r="F37" s="36" t="n">
        <v>44580</v>
      </c>
      <c r="G37" s="22"/>
      <c r="H37" s="24"/>
      <c r="I37" s="24"/>
      <c r="J37" s="24"/>
      <c r="K37" s="24"/>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row>
    <row r="38" customFormat="false" ht="15.75" hidden="false" customHeight="false" outlineLevel="0" collapsed="false">
      <c r="A38" s="21" t="s">
        <v>188</v>
      </c>
      <c r="B38" s="22" t="s">
        <v>60</v>
      </c>
      <c r="C38" s="22" t="s">
        <v>189</v>
      </c>
      <c r="D38" s="22" t="s">
        <v>32</v>
      </c>
      <c r="E38" s="22" t="s">
        <v>190</v>
      </c>
      <c r="F38" s="36" t="n">
        <v>44544</v>
      </c>
      <c r="G38" s="22"/>
      <c r="H38" s="24"/>
      <c r="I38" s="24"/>
      <c r="J38" s="24"/>
      <c r="K38" s="24"/>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row>
    <row r="39" customFormat="false" ht="15.75" hidden="false" customHeight="false" outlineLevel="0" collapsed="false">
      <c r="A39" s="21" t="s">
        <v>191</v>
      </c>
      <c r="B39" s="22" t="s">
        <v>60</v>
      </c>
      <c r="C39" s="22" t="s">
        <v>192</v>
      </c>
      <c r="D39" s="47" t="s">
        <v>35</v>
      </c>
      <c r="E39" s="22" t="s">
        <v>193</v>
      </c>
      <c r="F39" s="36" t="n">
        <v>44700</v>
      </c>
      <c r="H39" s="22" t="s">
        <v>194</v>
      </c>
      <c r="I39" s="24"/>
      <c r="J39" s="24"/>
      <c r="K39" s="24"/>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row>
    <row r="40" customFormat="false" ht="15.75" hidden="false" customHeight="false" outlineLevel="0" collapsed="false">
      <c r="A40" s="21" t="s">
        <v>195</v>
      </c>
      <c r="B40" s="22" t="s">
        <v>60</v>
      </c>
      <c r="C40" s="22" t="s">
        <v>196</v>
      </c>
      <c r="D40" s="22" t="s">
        <v>32</v>
      </c>
      <c r="E40" s="22" t="s">
        <v>197</v>
      </c>
      <c r="F40" s="36" t="n">
        <v>44531</v>
      </c>
      <c r="G40" s="22"/>
      <c r="H40" s="24"/>
      <c r="I40" s="24"/>
      <c r="J40" s="24"/>
      <c r="K40" s="24"/>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row>
    <row r="41" customFormat="false" ht="15.75" hidden="false" customHeight="false" outlineLevel="0" collapsed="false">
      <c r="A41" s="21" t="s">
        <v>198</v>
      </c>
      <c r="B41" s="22" t="s">
        <v>60</v>
      </c>
      <c r="C41" s="22" t="s">
        <v>199</v>
      </c>
      <c r="D41" s="22" t="s">
        <v>32</v>
      </c>
      <c r="E41" s="13" t="s">
        <v>200</v>
      </c>
      <c r="F41" s="36" t="n">
        <v>44562</v>
      </c>
      <c r="G41" s="22"/>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row>
    <row r="42" customFormat="false" ht="15.75" hidden="false" customHeight="false" outlineLevel="0" collapsed="false">
      <c r="A42" s="21" t="s">
        <v>201</v>
      </c>
      <c r="B42" s="22" t="s">
        <v>60</v>
      </c>
      <c r="C42" s="22" t="s">
        <v>202</v>
      </c>
      <c r="D42" s="22" t="s">
        <v>39</v>
      </c>
      <c r="E42" s="22" t="s">
        <v>62</v>
      </c>
      <c r="F42" s="22"/>
      <c r="G42" s="20" t="s">
        <v>80</v>
      </c>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row>
    <row r="43" customFormat="false" ht="15.75" hidden="false" customHeight="false" outlineLevel="0" collapsed="false">
      <c r="A43" s="21" t="s">
        <v>203</v>
      </c>
      <c r="B43" s="22" t="s">
        <v>60</v>
      </c>
      <c r="C43" s="22" t="s">
        <v>204</v>
      </c>
      <c r="D43" s="22" t="s">
        <v>39</v>
      </c>
      <c r="E43" s="22" t="s">
        <v>62</v>
      </c>
      <c r="F43" s="22"/>
      <c r="G43" s="20" t="s">
        <v>80</v>
      </c>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row>
    <row r="44" customFormat="false" ht="15.75" hidden="false" customHeight="false" outlineLevel="0" collapsed="false">
      <c r="A44" s="21" t="s">
        <v>205</v>
      </c>
      <c r="B44" s="22" t="s">
        <v>60</v>
      </c>
      <c r="C44" s="22" t="s">
        <v>206</v>
      </c>
      <c r="D44" s="22" t="s">
        <v>39</v>
      </c>
      <c r="E44" s="22" t="s">
        <v>62</v>
      </c>
      <c r="F44" s="22"/>
      <c r="G44" s="20" t="s">
        <v>80</v>
      </c>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row>
    <row r="45" customFormat="false" ht="15.75" hidden="false" customHeight="false" outlineLevel="0" collapsed="false">
      <c r="A45" s="12" t="s">
        <v>207</v>
      </c>
      <c r="B45" s="22" t="s">
        <v>60</v>
      </c>
      <c r="C45" s="13" t="s">
        <v>208</v>
      </c>
      <c r="D45" s="22" t="s">
        <v>32</v>
      </c>
      <c r="E45" s="13" t="s">
        <v>209</v>
      </c>
      <c r="F45" s="48" t="n">
        <v>45405</v>
      </c>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row>
    <row r="46" customFormat="false" ht="15.75" hidden="false" customHeight="false" outlineLevel="0" collapsed="false">
      <c r="A46" s="12" t="s">
        <v>210</v>
      </c>
      <c r="B46" s="22" t="s">
        <v>60</v>
      </c>
      <c r="C46" s="13" t="s">
        <v>211</v>
      </c>
      <c r="D46" s="49" t="s">
        <v>32</v>
      </c>
      <c r="E46" s="13" t="s">
        <v>212</v>
      </c>
      <c r="F46" s="48" t="n">
        <v>45712</v>
      </c>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row>
    <row r="47" customFormat="false" ht="15.75" hidden="false" customHeight="false" outlineLevel="0" collapsed="false">
      <c r="A47" s="12" t="s">
        <v>213</v>
      </c>
      <c r="B47" s="22" t="s">
        <v>60</v>
      </c>
      <c r="C47" s="13" t="s">
        <v>214</v>
      </c>
      <c r="D47" s="49" t="s">
        <v>32</v>
      </c>
      <c r="E47" s="13" t="s">
        <v>215</v>
      </c>
      <c r="F47" s="48" t="n">
        <v>45509</v>
      </c>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row>
    <row r="48" customFormat="false" ht="15.75" hidden="false" customHeight="false" outlineLevel="0" collapsed="false">
      <c r="A48" s="12" t="s">
        <v>216</v>
      </c>
      <c r="B48" s="22" t="s">
        <v>60</v>
      </c>
      <c r="C48" s="13" t="s">
        <v>217</v>
      </c>
      <c r="D48" s="49" t="s">
        <v>32</v>
      </c>
      <c r="E48" s="13" t="s">
        <v>218</v>
      </c>
      <c r="F48" s="48" t="n">
        <v>45439</v>
      </c>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row>
    <row r="49" customFormat="false" ht="15.75" hidden="false" customHeight="false" outlineLevel="0" collapsed="false">
      <c r="A49" s="12" t="s">
        <v>219</v>
      </c>
      <c r="B49" s="22" t="s">
        <v>60</v>
      </c>
      <c r="C49" s="13" t="s">
        <v>220</v>
      </c>
      <c r="D49" s="49" t="s">
        <v>32</v>
      </c>
      <c r="E49" s="13" t="s">
        <v>221</v>
      </c>
      <c r="F49" s="48" t="n">
        <v>45421</v>
      </c>
    </row>
    <row r="50" customFormat="false" ht="15.75" hidden="false" customHeight="false" outlineLevel="0" collapsed="false">
      <c r="A50" s="12" t="s">
        <v>222</v>
      </c>
      <c r="B50" s="22" t="s">
        <v>60</v>
      </c>
      <c r="C50" s="13" t="s">
        <v>223</v>
      </c>
      <c r="D50" s="49" t="s">
        <v>32</v>
      </c>
      <c r="E50" s="13" t="s">
        <v>224</v>
      </c>
      <c r="F50" s="48" t="n">
        <v>45443</v>
      </c>
    </row>
    <row r="51" customFormat="false" ht="15.75" hidden="false" customHeight="false" outlineLevel="0" collapsed="false">
      <c r="A51" s="12" t="s">
        <v>225</v>
      </c>
      <c r="B51" s="22" t="s">
        <v>226</v>
      </c>
      <c r="C51" s="13" t="s">
        <v>226</v>
      </c>
      <c r="D51" s="13" t="s">
        <v>226</v>
      </c>
      <c r="E51" s="13" t="s">
        <v>226</v>
      </c>
      <c r="F51" s="48"/>
    </row>
    <row r="52" customFormat="false" ht="15.75" hidden="false" customHeight="true" outlineLevel="0" collapsed="false">
      <c r="A52" s="12" t="s">
        <v>227</v>
      </c>
      <c r="B52" s="13" t="s">
        <v>226</v>
      </c>
      <c r="C52" s="13" t="s">
        <v>226</v>
      </c>
      <c r="D52" s="13" t="s">
        <v>226</v>
      </c>
      <c r="E52" s="13" t="s">
        <v>226</v>
      </c>
    </row>
    <row r="53" customFormat="false" ht="15.75" hidden="false" customHeight="true" outlineLevel="0" collapsed="false">
      <c r="A53" s="12" t="s">
        <v>228</v>
      </c>
      <c r="B53" s="13" t="s">
        <v>226</v>
      </c>
      <c r="C53" s="13" t="s">
        <v>226</v>
      </c>
      <c r="D53" s="13" t="s">
        <v>226</v>
      </c>
      <c r="E53" s="13" t="s">
        <v>226</v>
      </c>
    </row>
    <row r="54" customFormat="false" ht="15.75" hidden="false" customHeight="true" outlineLevel="0" collapsed="false">
      <c r="A54" s="12" t="s">
        <v>229</v>
      </c>
      <c r="B54" s="13" t="s">
        <v>226</v>
      </c>
      <c r="C54" s="13" t="s">
        <v>226</v>
      </c>
      <c r="D54" s="13" t="s">
        <v>226</v>
      </c>
      <c r="E54" s="13" t="s">
        <v>226</v>
      </c>
    </row>
    <row r="55" customFormat="false" ht="15.75" hidden="false" customHeight="true" outlineLevel="0" collapsed="false">
      <c r="A55" s="12" t="s">
        <v>230</v>
      </c>
      <c r="B55" s="22" t="s">
        <v>60</v>
      </c>
      <c r="C55" s="13" t="s">
        <v>231</v>
      </c>
      <c r="D55" s="49" t="s">
        <v>32</v>
      </c>
      <c r="E55" s="13" t="s">
        <v>232</v>
      </c>
      <c r="F55" s="48" t="n">
        <v>45443</v>
      </c>
      <c r="G55" s="50"/>
      <c r="K55" s="22" t="s">
        <v>233</v>
      </c>
    </row>
    <row r="56" customFormat="false" ht="15.75" hidden="false" customHeight="true" outlineLevel="0" collapsed="false">
      <c r="A56" s="12" t="s">
        <v>234</v>
      </c>
      <c r="B56" s="22" t="s">
        <v>60</v>
      </c>
      <c r="C56" s="13" t="s">
        <v>235</v>
      </c>
      <c r="D56" s="49" t="s">
        <v>32</v>
      </c>
      <c r="E56" s="13" t="s">
        <v>236</v>
      </c>
      <c r="F56" s="48" t="n">
        <v>45523</v>
      </c>
      <c r="G56" s="13" t="s">
        <v>237</v>
      </c>
      <c r="H56" s="51"/>
      <c r="K56" s="22" t="s">
        <v>233</v>
      </c>
    </row>
    <row r="57" customFormat="false" ht="15.75" hidden="false" customHeight="true" outlineLevel="0" collapsed="false">
      <c r="A57" s="12" t="s">
        <v>238</v>
      </c>
      <c r="B57" s="22" t="s">
        <v>60</v>
      </c>
      <c r="C57" s="13" t="s">
        <v>239</v>
      </c>
      <c r="D57" s="49" t="s">
        <v>32</v>
      </c>
      <c r="E57" s="13" t="s">
        <v>240</v>
      </c>
      <c r="F57" s="48" t="n">
        <v>45525</v>
      </c>
      <c r="K57" s="22" t="s">
        <v>233</v>
      </c>
    </row>
    <row r="58" customFormat="false" ht="15.75" hidden="false" customHeight="true" outlineLevel="0" collapsed="false">
      <c r="A58" s="52" t="s">
        <v>241</v>
      </c>
      <c r="B58" s="53" t="s">
        <v>60</v>
      </c>
      <c r="C58" s="54" t="s">
        <v>242</v>
      </c>
      <c r="D58" s="54" t="s">
        <v>43</v>
      </c>
      <c r="E58" s="54" t="s">
        <v>243</v>
      </c>
      <c r="F58" s="55" t="n">
        <v>45547</v>
      </c>
      <c r="H58" s="13" t="s">
        <v>244</v>
      </c>
      <c r="K58" s="22" t="s">
        <v>233</v>
      </c>
    </row>
    <row r="59" customFormat="false" ht="15.75" hidden="false" customHeight="true" outlineLevel="0" collapsed="false">
      <c r="A59" s="12" t="s">
        <v>245</v>
      </c>
      <c r="B59" s="22" t="s">
        <v>60</v>
      </c>
      <c r="C59" s="13" t="s">
        <v>246</v>
      </c>
      <c r="D59" s="49" t="s">
        <v>32</v>
      </c>
      <c r="E59" s="13" t="s">
        <v>247</v>
      </c>
      <c r="F59" s="48" t="n">
        <v>45584</v>
      </c>
      <c r="H59" s="56" t="s">
        <v>248</v>
      </c>
      <c r="K59" s="22" t="s">
        <v>233</v>
      </c>
    </row>
    <row r="60" customFormat="false" ht="15.75" hidden="false" customHeight="true" outlineLevel="0" collapsed="false">
      <c r="A60" s="57" t="s">
        <v>249</v>
      </c>
      <c r="B60" s="58" t="s">
        <v>60</v>
      </c>
      <c r="C60" s="59" t="s">
        <v>250</v>
      </c>
      <c r="D60" s="49" t="s">
        <v>43</v>
      </c>
      <c r="E60" s="59" t="s">
        <v>251</v>
      </c>
      <c r="F60" s="60" t="n">
        <v>45593</v>
      </c>
      <c r="G60" s="60" t="n">
        <v>45824</v>
      </c>
      <c r="H60" s="59" t="s">
        <v>252</v>
      </c>
      <c r="K60" s="22" t="s">
        <v>233</v>
      </c>
    </row>
    <row r="61" customFormat="false" ht="15.75" hidden="false" customHeight="true" outlineLevel="0" collapsed="false">
      <c r="A61" s="12" t="s">
        <v>253</v>
      </c>
      <c r="B61" s="22" t="s">
        <v>60</v>
      </c>
      <c r="C61" s="13" t="s">
        <v>254</v>
      </c>
      <c r="D61" s="49" t="s">
        <v>32</v>
      </c>
      <c r="E61" s="13" t="s">
        <v>255</v>
      </c>
      <c r="F61" s="48" t="n">
        <v>45611</v>
      </c>
      <c r="H61" s="56" t="s">
        <v>248</v>
      </c>
      <c r="K61" s="22" t="s">
        <v>233</v>
      </c>
    </row>
    <row r="62" customFormat="false" ht="15.75" hidden="false" customHeight="true" outlineLevel="0" collapsed="false">
      <c r="A62" s="12" t="s">
        <v>256</v>
      </c>
      <c r="B62" s="22" t="s">
        <v>60</v>
      </c>
      <c r="C62" s="13" t="s">
        <v>257</v>
      </c>
      <c r="D62" s="49" t="s">
        <v>32</v>
      </c>
      <c r="E62" s="13" t="s">
        <v>258</v>
      </c>
      <c r="F62" s="48" t="n">
        <v>45611</v>
      </c>
      <c r="K62" s="22" t="s">
        <v>233</v>
      </c>
    </row>
    <row r="63" customFormat="false" ht="15.75" hidden="false" customHeight="true" outlineLevel="0" collapsed="false">
      <c r="A63" s="12" t="s">
        <v>259</v>
      </c>
      <c r="B63" s="22" t="s">
        <v>60</v>
      </c>
      <c r="C63" s="13" t="s">
        <v>260</v>
      </c>
      <c r="D63" s="49" t="s">
        <v>32</v>
      </c>
      <c r="E63" s="61" t="s">
        <v>261</v>
      </c>
      <c r="F63" s="48" t="n">
        <v>45611</v>
      </c>
      <c r="H63" s="13" t="s">
        <v>262</v>
      </c>
      <c r="K63" s="22" t="s">
        <v>233</v>
      </c>
    </row>
    <row r="64" customFormat="false" ht="15.75" hidden="false" customHeight="true" outlineLevel="0" collapsed="false">
      <c r="A64" s="12" t="s">
        <v>263</v>
      </c>
      <c r="B64" s="22" t="s">
        <v>60</v>
      </c>
      <c r="C64" s="13" t="s">
        <v>264</v>
      </c>
      <c r="D64" s="49" t="s">
        <v>32</v>
      </c>
      <c r="E64" s="13" t="s">
        <v>265</v>
      </c>
      <c r="F64" s="48" t="n">
        <v>45615</v>
      </c>
      <c r="K64" s="22" t="s">
        <v>233</v>
      </c>
    </row>
    <row r="65" customFormat="false" ht="15.75" hidden="false" customHeight="true" outlineLevel="0" collapsed="false">
      <c r="A65" s="12" t="s">
        <v>266</v>
      </c>
      <c r="B65" s="22" t="s">
        <v>60</v>
      </c>
      <c r="C65" s="13" t="s">
        <v>267</v>
      </c>
      <c r="D65" s="49" t="s">
        <v>32</v>
      </c>
      <c r="E65" s="13" t="s">
        <v>268</v>
      </c>
      <c r="F65" s="48" t="n">
        <v>45618</v>
      </c>
    </row>
    <row r="66" customFormat="false" ht="15.75" hidden="false" customHeight="true" outlineLevel="0" collapsed="false">
      <c r="A66" s="12" t="s">
        <v>269</v>
      </c>
      <c r="B66" s="22" t="s">
        <v>60</v>
      </c>
      <c r="C66" s="13" t="s">
        <v>270</v>
      </c>
      <c r="D66" s="49" t="s">
        <v>32</v>
      </c>
      <c r="E66" s="6" t="s">
        <v>271</v>
      </c>
      <c r="F66" s="48" t="n">
        <v>45618</v>
      </c>
    </row>
    <row r="67" customFormat="false" ht="15.75" hidden="false" customHeight="true" outlineLevel="0" collapsed="false">
      <c r="A67" s="12" t="s">
        <v>272</v>
      </c>
      <c r="B67" s="22" t="s">
        <v>60</v>
      </c>
      <c r="C67" s="13" t="s">
        <v>273</v>
      </c>
      <c r="D67" s="49" t="s">
        <v>32</v>
      </c>
      <c r="E67" s="13" t="s">
        <v>274</v>
      </c>
      <c r="F67" s="48" t="n">
        <v>45716</v>
      </c>
    </row>
    <row r="68" customFormat="false" ht="15.75" hidden="false" customHeight="true" outlineLevel="0" collapsed="false">
      <c r="A68" s="12" t="s">
        <v>275</v>
      </c>
      <c r="B68" s="22" t="s">
        <v>60</v>
      </c>
      <c r="C68" s="13" t="s">
        <v>276</v>
      </c>
      <c r="D68" s="49" t="s">
        <v>32</v>
      </c>
      <c r="E68" s="13" t="s">
        <v>277</v>
      </c>
      <c r="F68" s="48" t="n">
        <v>45621</v>
      </c>
    </row>
    <row r="69" customFormat="false" ht="15.75" hidden="false" customHeight="true" outlineLevel="0" collapsed="false">
      <c r="A69" s="12" t="s">
        <v>278</v>
      </c>
      <c r="B69" s="22" t="s">
        <v>60</v>
      </c>
      <c r="C69" s="13" t="s">
        <v>279</v>
      </c>
      <c r="D69" s="49" t="s">
        <v>32</v>
      </c>
      <c r="E69" s="13" t="s">
        <v>280</v>
      </c>
      <c r="F69" s="48" t="n">
        <v>45621</v>
      </c>
    </row>
    <row r="70" customFormat="false" ht="15.75" hidden="false" customHeight="true" outlineLevel="0" collapsed="false">
      <c r="A70" s="12" t="s">
        <v>281</v>
      </c>
      <c r="B70" s="22" t="s">
        <v>60</v>
      </c>
      <c r="C70" s="13" t="s">
        <v>282</v>
      </c>
      <c r="D70" s="49" t="s">
        <v>32</v>
      </c>
      <c r="E70" s="13" t="s">
        <v>283</v>
      </c>
      <c r="F70" s="48" t="n">
        <v>45621</v>
      </c>
    </row>
    <row r="71" customFormat="false" ht="15.75" hidden="false" customHeight="true" outlineLevel="0" collapsed="false">
      <c r="A71" s="12" t="s">
        <v>284</v>
      </c>
      <c r="B71" s="22" t="s">
        <v>60</v>
      </c>
      <c r="C71" s="13" t="s">
        <v>285</v>
      </c>
      <c r="D71" s="49" t="s">
        <v>32</v>
      </c>
      <c r="E71" s="13" t="s">
        <v>286</v>
      </c>
      <c r="F71" s="48" t="n">
        <v>45621</v>
      </c>
    </row>
    <row r="72" customFormat="false" ht="15.75" hidden="false" customHeight="true" outlineLevel="0" collapsed="false">
      <c r="A72" s="12" t="s">
        <v>287</v>
      </c>
      <c r="B72" s="22" t="s">
        <v>60</v>
      </c>
      <c r="C72" s="13" t="s">
        <v>288</v>
      </c>
      <c r="D72" s="49" t="s">
        <v>32</v>
      </c>
      <c r="E72" s="13" t="s">
        <v>289</v>
      </c>
      <c r="F72" s="48" t="n">
        <v>45622</v>
      </c>
    </row>
    <row r="73" customFormat="false" ht="15.75" hidden="false" customHeight="true" outlineLevel="0" collapsed="false">
      <c r="A73" s="12" t="s">
        <v>290</v>
      </c>
      <c r="B73" s="22" t="s">
        <v>60</v>
      </c>
      <c r="C73" s="13" t="s">
        <v>291</v>
      </c>
      <c r="D73" s="49" t="s">
        <v>32</v>
      </c>
      <c r="E73" s="13" t="s">
        <v>292</v>
      </c>
      <c r="F73" s="48" t="n">
        <v>45629</v>
      </c>
    </row>
    <row r="74" customFormat="false" ht="15.75" hidden="false" customHeight="true" outlineLevel="0" collapsed="false">
      <c r="A74" s="12" t="s">
        <v>293</v>
      </c>
      <c r="B74" s="22" t="s">
        <v>60</v>
      </c>
      <c r="C74" s="13" t="s">
        <v>294</v>
      </c>
      <c r="D74" s="49" t="s">
        <v>32</v>
      </c>
      <c r="E74" s="13" t="s">
        <v>295</v>
      </c>
      <c r="F74" s="48" t="n">
        <v>45639</v>
      </c>
    </row>
    <row r="75" customFormat="false" ht="15.75" hidden="false" customHeight="true" outlineLevel="0" collapsed="false">
      <c r="A75" s="12" t="s">
        <v>296</v>
      </c>
      <c r="B75" s="22" t="s">
        <v>60</v>
      </c>
      <c r="C75" s="13" t="s">
        <v>297</v>
      </c>
      <c r="D75" s="49" t="s">
        <v>32</v>
      </c>
      <c r="E75" s="13" t="s">
        <v>298</v>
      </c>
      <c r="F75" s="48" t="n">
        <v>45643</v>
      </c>
    </row>
    <row r="76" customFormat="false" ht="15.75" hidden="false" customHeight="true" outlineLevel="0" collapsed="false">
      <c r="A76" s="12" t="s">
        <v>299</v>
      </c>
      <c r="B76" s="22" t="s">
        <v>60</v>
      </c>
      <c r="C76" s="13" t="s">
        <v>300</v>
      </c>
      <c r="D76" s="49" t="s">
        <v>32</v>
      </c>
      <c r="E76" s="13" t="s">
        <v>301</v>
      </c>
      <c r="F76" s="48" t="n">
        <v>45645</v>
      </c>
    </row>
    <row r="77" customFormat="false" ht="15.75" hidden="false" customHeight="true" outlineLevel="0" collapsed="false">
      <c r="A77" s="12" t="s">
        <v>302</v>
      </c>
      <c r="B77" s="22" t="s">
        <v>60</v>
      </c>
      <c r="C77" s="13" t="s">
        <v>303</v>
      </c>
      <c r="D77" s="49" t="s">
        <v>32</v>
      </c>
      <c r="E77" s="13" t="s">
        <v>304</v>
      </c>
      <c r="F77" s="48" t="n">
        <v>45673</v>
      </c>
    </row>
    <row r="78" customFormat="false" ht="15.75" hidden="false" customHeight="true" outlineLevel="0" collapsed="false">
      <c r="A78" s="12" t="s">
        <v>305</v>
      </c>
      <c r="B78" s="22" t="s">
        <v>60</v>
      </c>
      <c r="C78" s="13" t="s">
        <v>306</v>
      </c>
      <c r="D78" s="49" t="s">
        <v>32</v>
      </c>
      <c r="E78" s="13" t="s">
        <v>307</v>
      </c>
      <c r="F78" s="48" t="n">
        <v>45673</v>
      </c>
    </row>
    <row r="79" customFormat="false" ht="15.75" hidden="false" customHeight="true" outlineLevel="0" collapsed="false">
      <c r="A79" s="12" t="s">
        <v>308</v>
      </c>
      <c r="B79" s="22" t="s">
        <v>60</v>
      </c>
      <c r="C79" s="13" t="s">
        <v>309</v>
      </c>
      <c r="D79" s="49" t="s">
        <v>32</v>
      </c>
      <c r="E79" s="13" t="s">
        <v>310</v>
      </c>
      <c r="F79" s="48" t="n">
        <v>45709</v>
      </c>
    </row>
    <row r="80" customFormat="false" ht="15.75" hidden="false" customHeight="true" outlineLevel="0" collapsed="false">
      <c r="A80" s="12" t="s">
        <v>311</v>
      </c>
      <c r="B80" s="22" t="s">
        <v>60</v>
      </c>
      <c r="C80" s="13" t="s">
        <v>312</v>
      </c>
      <c r="D80" s="49" t="s">
        <v>32</v>
      </c>
      <c r="E80" s="13" t="s">
        <v>313</v>
      </c>
      <c r="F80" s="48" t="n">
        <v>45681</v>
      </c>
    </row>
    <row r="81" customFormat="false" ht="15.75" hidden="false" customHeight="true" outlineLevel="0" collapsed="false">
      <c r="A81" s="62" t="s">
        <v>314</v>
      </c>
      <c r="B81" s="22" t="s">
        <v>60</v>
      </c>
      <c r="C81" s="13" t="s">
        <v>315</v>
      </c>
      <c r="D81" s="49" t="s">
        <v>32</v>
      </c>
      <c r="E81" s="13" t="s">
        <v>316</v>
      </c>
      <c r="F81" s="48" t="n">
        <v>45687</v>
      </c>
    </row>
    <row r="82" customFormat="false" ht="15.75" hidden="false" customHeight="true" outlineLevel="0" collapsed="false">
      <c r="A82" s="12" t="s">
        <v>317</v>
      </c>
      <c r="B82" s="22" t="s">
        <v>60</v>
      </c>
      <c r="C82" s="13" t="s">
        <v>318</v>
      </c>
      <c r="D82" s="49" t="s">
        <v>32</v>
      </c>
      <c r="E82" s="13" t="s">
        <v>319</v>
      </c>
      <c r="F82" s="48" t="n">
        <v>45691</v>
      </c>
    </row>
    <row r="83" customFormat="false" ht="15.75" hidden="false" customHeight="true" outlineLevel="0" collapsed="false">
      <c r="A83" s="62" t="s">
        <v>320</v>
      </c>
      <c r="B83" s="22" t="s">
        <v>60</v>
      </c>
      <c r="C83" s="13" t="s">
        <v>321</v>
      </c>
      <c r="D83" s="49" t="s">
        <v>32</v>
      </c>
      <c r="E83" s="13" t="s">
        <v>322</v>
      </c>
      <c r="F83" s="48" t="n">
        <v>45691</v>
      </c>
    </row>
    <row r="84" customFormat="false" ht="15.75" hidden="false" customHeight="true" outlineLevel="0" collapsed="false">
      <c r="A84" s="12" t="s">
        <v>323</v>
      </c>
      <c r="B84" s="22" t="s">
        <v>60</v>
      </c>
      <c r="C84" s="13" t="s">
        <v>324</v>
      </c>
      <c r="D84" s="49" t="s">
        <v>32</v>
      </c>
      <c r="E84" s="13" t="s">
        <v>325</v>
      </c>
      <c r="F84" s="48" t="n">
        <v>45706</v>
      </c>
    </row>
    <row r="85" customFormat="false" ht="15.75" hidden="false" customHeight="true" outlineLevel="0" collapsed="false">
      <c r="A85" s="12" t="s">
        <v>326</v>
      </c>
      <c r="B85" s="22" t="s">
        <v>60</v>
      </c>
      <c r="C85" s="13" t="s">
        <v>327</v>
      </c>
      <c r="D85" s="49" t="s">
        <v>32</v>
      </c>
      <c r="E85" s="13" t="s">
        <v>328</v>
      </c>
      <c r="F85" s="48" t="n">
        <v>45716</v>
      </c>
    </row>
    <row r="86" customFormat="false" ht="15.75" hidden="false" customHeight="true" outlineLevel="0" collapsed="false">
      <c r="A86" s="12" t="s">
        <v>329</v>
      </c>
      <c r="B86" s="22" t="s">
        <v>60</v>
      </c>
      <c r="C86" s="13" t="s">
        <v>330</v>
      </c>
      <c r="D86" s="49" t="s">
        <v>32</v>
      </c>
      <c r="E86" s="13" t="s">
        <v>331</v>
      </c>
      <c r="F86" s="48" t="n">
        <v>45744</v>
      </c>
    </row>
    <row r="87" customFormat="false" ht="15.75" hidden="false" customHeight="true" outlineLevel="0" collapsed="false">
      <c r="A87" s="12" t="s">
        <v>332</v>
      </c>
      <c r="B87" s="22" t="s">
        <v>60</v>
      </c>
      <c r="C87" s="13" t="s">
        <v>333</v>
      </c>
      <c r="D87" s="49" t="s">
        <v>32</v>
      </c>
      <c r="E87" s="13" t="s">
        <v>334</v>
      </c>
      <c r="F87" s="48" t="n">
        <v>45765</v>
      </c>
    </row>
    <row r="88" customFormat="false" ht="15.75" hidden="false" customHeight="true" outlineLevel="0" collapsed="false">
      <c r="A88" s="12" t="s">
        <v>335</v>
      </c>
      <c r="B88" s="22" t="s">
        <v>60</v>
      </c>
      <c r="C88" s="13" t="s">
        <v>336</v>
      </c>
      <c r="D88" s="49" t="s">
        <v>32</v>
      </c>
      <c r="E88" s="13" t="s">
        <v>337</v>
      </c>
      <c r="F88" s="48" t="n">
        <v>45824</v>
      </c>
    </row>
    <row r="89" customFormat="false" ht="15.75" hidden="false" customHeight="true" outlineLevel="0" collapsed="false">
      <c r="A89" s="12" t="s">
        <v>338</v>
      </c>
      <c r="B89" s="22" t="s">
        <v>60</v>
      </c>
      <c r="C89" s="13" t="s">
        <v>339</v>
      </c>
      <c r="D89" s="49" t="s">
        <v>32</v>
      </c>
      <c r="E89" s="47" t="s">
        <v>340</v>
      </c>
      <c r="F89" s="48" t="n">
        <v>45824</v>
      </c>
    </row>
    <row r="90" customFormat="false" ht="15.75" hidden="false" customHeight="true" outlineLevel="0" collapsed="false">
      <c r="A90" s="12" t="s">
        <v>341</v>
      </c>
      <c r="B90" s="22" t="s">
        <v>60</v>
      </c>
      <c r="C90" s="13" t="s">
        <v>342</v>
      </c>
      <c r="D90" s="49" t="s">
        <v>32</v>
      </c>
      <c r="E90" s="13" t="s">
        <v>343</v>
      </c>
      <c r="F90" s="48" t="n">
        <v>45824</v>
      </c>
    </row>
    <row r="91" customFormat="false" ht="15.75" hidden="false" customHeight="true" outlineLevel="0" collapsed="false">
      <c r="A91" s="12" t="s">
        <v>344</v>
      </c>
      <c r="B91" s="22" t="s">
        <v>60</v>
      </c>
      <c r="C91" s="13" t="s">
        <v>345</v>
      </c>
      <c r="D91" s="49" t="s">
        <v>32</v>
      </c>
      <c r="E91" s="13" t="s">
        <v>346</v>
      </c>
      <c r="F91" s="48" t="n">
        <v>45828</v>
      </c>
    </row>
    <row r="92" customFormat="false" ht="15.75" hidden="false" customHeight="true" outlineLevel="0" collapsed="false">
      <c r="A92" s="12" t="s">
        <v>347</v>
      </c>
      <c r="B92" s="22" t="s">
        <v>60</v>
      </c>
      <c r="C92" s="13" t="s">
        <v>348</v>
      </c>
      <c r="D92" s="49" t="s">
        <v>32</v>
      </c>
      <c r="E92" s="13" t="s">
        <v>349</v>
      </c>
      <c r="F92" s="48" t="n">
        <v>45845</v>
      </c>
    </row>
    <row r="93" customFormat="false" ht="15.75" hidden="false" customHeight="true" outlineLevel="0" collapsed="false">
      <c r="A93" s="12" t="s">
        <v>350</v>
      </c>
      <c r="B93" s="22" t="s">
        <v>60</v>
      </c>
      <c r="C93" s="13" t="s">
        <v>351</v>
      </c>
      <c r="D93" s="49" t="s">
        <v>32</v>
      </c>
      <c r="E93" s="13" t="s">
        <v>352</v>
      </c>
      <c r="F93" s="48" t="n">
        <v>45876</v>
      </c>
    </row>
    <row r="94" customFormat="false" ht="15.75" hidden="false" customHeight="true" outlineLevel="0" collapsed="false">
      <c r="A94" s="63" t="s">
        <v>353</v>
      </c>
      <c r="B94" s="64" t="s">
        <v>60</v>
      </c>
      <c r="C94" s="65" t="s">
        <v>354</v>
      </c>
      <c r="D94" s="47" t="s">
        <v>35</v>
      </c>
      <c r="E94" s="47" t="s">
        <v>355</v>
      </c>
    </row>
    <row r="95" customFormat="false" ht="15.75" hidden="false" customHeight="true" outlineLevel="0" collapsed="false">
      <c r="A95" s="66" t="s">
        <v>356</v>
      </c>
      <c r="B95" s="22" t="s">
        <v>60</v>
      </c>
      <c r="C95" s="67" t="s">
        <v>357</v>
      </c>
      <c r="D95" s="22" t="s">
        <v>32</v>
      </c>
      <c r="E95" s="13" t="s">
        <v>355</v>
      </c>
      <c r="F95" s="68"/>
    </row>
    <row r="96" customFormat="false" ht="15.75" hidden="false" customHeight="true" outlineLevel="0" collapsed="false">
      <c r="A96" s="66" t="s">
        <v>358</v>
      </c>
      <c r="B96" s="22" t="s">
        <v>60</v>
      </c>
      <c r="C96" s="67" t="s">
        <v>359</v>
      </c>
      <c r="D96" s="22" t="s">
        <v>39</v>
      </c>
      <c r="E96" s="13" t="s">
        <v>360</v>
      </c>
      <c r="F96" s="68"/>
    </row>
    <row r="97" customFormat="false" ht="15.75" hidden="false" customHeight="true" outlineLevel="0" collapsed="false">
      <c r="A97" s="66" t="s">
        <v>361</v>
      </c>
      <c r="B97" s="22" t="s">
        <v>60</v>
      </c>
      <c r="C97" s="13" t="s">
        <v>362</v>
      </c>
      <c r="D97" s="22" t="s">
        <v>39</v>
      </c>
      <c r="E97" s="13" t="s">
        <v>363</v>
      </c>
      <c r="F97" s="68"/>
    </row>
    <row r="98" customFormat="false" ht="15.75" hidden="false" customHeight="true" outlineLevel="0" collapsed="false">
      <c r="A98" s="66" t="s">
        <v>364</v>
      </c>
      <c r="B98" s="22" t="s">
        <v>60</v>
      </c>
      <c r="C98" s="13" t="s">
        <v>365</v>
      </c>
      <c r="D98" s="22" t="s">
        <v>39</v>
      </c>
      <c r="E98" s="13" t="s">
        <v>366</v>
      </c>
      <c r="F98" s="68"/>
    </row>
    <row r="99" customFormat="false" ht="15.75" hidden="false" customHeight="true" outlineLevel="0" collapsed="false">
      <c r="A99" s="66" t="s">
        <v>367</v>
      </c>
      <c r="B99" s="22" t="s">
        <v>60</v>
      </c>
      <c r="C99" s="13" t="s">
        <v>368</v>
      </c>
      <c r="D99" s="22" t="s">
        <v>39</v>
      </c>
      <c r="E99" s="13" t="s">
        <v>369</v>
      </c>
      <c r="F99" s="68"/>
    </row>
    <row r="100" customFormat="false" ht="15.75" hidden="false" customHeight="true" outlineLevel="0" collapsed="false">
      <c r="A100" s="66" t="s">
        <v>370</v>
      </c>
      <c r="B100" s="22" t="s">
        <v>60</v>
      </c>
      <c r="C100" s="13" t="s">
        <v>371</v>
      </c>
      <c r="D100" s="22" t="s">
        <v>39</v>
      </c>
      <c r="E100" s="13" t="s">
        <v>372</v>
      </c>
      <c r="F100" s="68"/>
    </row>
    <row r="101" customFormat="false" ht="15.75" hidden="false" customHeight="true" outlineLevel="0" collapsed="false">
      <c r="A101" s="66" t="s">
        <v>373</v>
      </c>
      <c r="B101" s="22" t="s">
        <v>60</v>
      </c>
      <c r="C101" s="69" t="s">
        <v>374</v>
      </c>
      <c r="D101" s="22" t="s">
        <v>39</v>
      </c>
      <c r="E101" s="13" t="s">
        <v>375</v>
      </c>
    </row>
    <row r="102" customFormat="false" ht="15.75" hidden="false" customHeight="true" outlineLevel="0" collapsed="false">
      <c r="A102" s="66" t="s">
        <v>376</v>
      </c>
      <c r="B102" s="22" t="s">
        <v>60</v>
      </c>
      <c r="C102" s="13" t="s">
        <v>377</v>
      </c>
      <c r="D102" s="22" t="s">
        <v>39</v>
      </c>
      <c r="E102" s="13" t="s">
        <v>378</v>
      </c>
    </row>
    <row r="103" customFormat="false" ht="15.75" hidden="false" customHeight="true" outlineLevel="0" collapsed="false">
      <c r="A103" s="66" t="s">
        <v>379</v>
      </c>
      <c r="B103" s="22" t="s">
        <v>60</v>
      </c>
      <c r="C103" s="13" t="s">
        <v>380</v>
      </c>
      <c r="D103" s="22" t="s">
        <v>39</v>
      </c>
      <c r="E103" s="13" t="s">
        <v>381</v>
      </c>
    </row>
    <row r="104" customFormat="false" ht="15.75" hidden="false" customHeight="true" outlineLevel="0" collapsed="false">
      <c r="A104" s="66" t="s">
        <v>382</v>
      </c>
      <c r="B104" s="22" t="s">
        <v>60</v>
      </c>
      <c r="C104" s="13" t="s">
        <v>383</v>
      </c>
      <c r="D104" s="22" t="s">
        <v>39</v>
      </c>
      <c r="E104" s="13" t="s">
        <v>384</v>
      </c>
    </row>
    <row r="105" customFormat="false" ht="15.75" hidden="false" customHeight="true" outlineLevel="0" collapsed="false">
      <c r="A105" s="66" t="s">
        <v>385</v>
      </c>
      <c r="B105" s="22" t="s">
        <v>60</v>
      </c>
      <c r="C105" s="13" t="s">
        <v>386</v>
      </c>
      <c r="D105" s="22" t="s">
        <v>39</v>
      </c>
      <c r="E105" s="13" t="s">
        <v>387</v>
      </c>
    </row>
    <row r="106" customFormat="false" ht="15.75" hidden="false" customHeight="true" outlineLevel="0" collapsed="false">
      <c r="A106" s="66" t="s">
        <v>388</v>
      </c>
      <c r="B106" s="22" t="s">
        <v>60</v>
      </c>
      <c r="C106" s="13" t="s">
        <v>389</v>
      </c>
      <c r="D106" s="22" t="s">
        <v>39</v>
      </c>
      <c r="E106" s="13" t="s">
        <v>390</v>
      </c>
    </row>
    <row r="107" customFormat="false" ht="15.75" hidden="false" customHeight="true" outlineLevel="0" collapsed="false">
      <c r="A107" s="66" t="s">
        <v>391</v>
      </c>
      <c r="B107" s="22" t="s">
        <v>60</v>
      </c>
      <c r="C107" s="13" t="s">
        <v>392</v>
      </c>
      <c r="D107" s="22" t="s">
        <v>39</v>
      </c>
      <c r="E107" s="13" t="s">
        <v>393</v>
      </c>
    </row>
    <row r="108" customFormat="false" ht="15.75" hidden="false" customHeight="true" outlineLevel="0" collapsed="false">
      <c r="A108" s="66" t="s">
        <v>394</v>
      </c>
      <c r="B108" s="22" t="s">
        <v>60</v>
      </c>
      <c r="C108" s="13" t="s">
        <v>395</v>
      </c>
      <c r="D108" s="22" t="s">
        <v>39</v>
      </c>
      <c r="E108" s="13" t="s">
        <v>393</v>
      </c>
    </row>
    <row r="109" customFormat="false" ht="15.75" hidden="false" customHeight="true" outlineLevel="0" collapsed="false">
      <c r="A109" s="66" t="s">
        <v>396</v>
      </c>
      <c r="B109" s="22" t="s">
        <v>60</v>
      </c>
      <c r="C109" s="13" t="s">
        <v>397</v>
      </c>
      <c r="D109" s="22" t="s">
        <v>39</v>
      </c>
      <c r="E109" s="13" t="s">
        <v>393</v>
      </c>
    </row>
    <row r="110" customFormat="false" ht="15.75" hidden="false" customHeight="true" outlineLevel="0" collapsed="false">
      <c r="A110" s="66" t="s">
        <v>398</v>
      </c>
      <c r="B110" s="22" t="s">
        <v>60</v>
      </c>
      <c r="D110" s="22" t="s">
        <v>39</v>
      </c>
      <c r="E110" s="13" t="s">
        <v>393</v>
      </c>
    </row>
    <row r="111" customFormat="false" ht="15.75" hidden="false" customHeight="true" outlineLevel="0" collapsed="false">
      <c r="A111" s="66" t="s">
        <v>399</v>
      </c>
      <c r="B111" s="22" t="s">
        <v>60</v>
      </c>
      <c r="D111" s="22" t="s">
        <v>39</v>
      </c>
      <c r="E111" s="13" t="s">
        <v>393</v>
      </c>
    </row>
    <row r="112" customFormat="false" ht="15.75" hidden="false" customHeight="true" outlineLevel="0" collapsed="false">
      <c r="A112" s="66" t="s">
        <v>400</v>
      </c>
      <c r="B112" s="22" t="s">
        <v>60</v>
      </c>
      <c r="D112" s="22" t="s">
        <v>39</v>
      </c>
      <c r="E112" s="13" t="s">
        <v>393</v>
      </c>
    </row>
    <row r="113" customFormat="false" ht="15.75" hidden="false" customHeight="true" outlineLevel="0" collapsed="false">
      <c r="A113" s="66" t="s">
        <v>401</v>
      </c>
      <c r="B113" s="22" t="s">
        <v>60</v>
      </c>
      <c r="D113" s="22" t="s">
        <v>39</v>
      </c>
      <c r="E113" s="13" t="s">
        <v>393</v>
      </c>
    </row>
    <row r="114" customFormat="false" ht="15.75" hidden="false" customHeight="true" outlineLevel="0" collapsed="false">
      <c r="A114" s="66" t="s">
        <v>402</v>
      </c>
      <c r="B114" s="22" t="s">
        <v>60</v>
      </c>
      <c r="D114" s="22" t="s">
        <v>39</v>
      </c>
      <c r="E114" s="13" t="s">
        <v>393</v>
      </c>
    </row>
    <row r="115" customFormat="false" ht="15.75" hidden="false" customHeight="true" outlineLevel="0" collapsed="false">
      <c r="A115" s="66" t="s">
        <v>403</v>
      </c>
      <c r="B115" s="22" t="s">
        <v>60</v>
      </c>
      <c r="D115" s="22" t="s">
        <v>39</v>
      </c>
      <c r="E115" s="13" t="s">
        <v>393</v>
      </c>
    </row>
    <row r="116" customFormat="false" ht="15.75" hidden="false" customHeight="true" outlineLevel="0" collapsed="false">
      <c r="A116" s="66" t="s">
        <v>404</v>
      </c>
      <c r="B116" s="22" t="s">
        <v>60</v>
      </c>
      <c r="D116" s="22" t="s">
        <v>39</v>
      </c>
      <c r="E116" s="13" t="s">
        <v>393</v>
      </c>
    </row>
    <row r="117" customFormat="false" ht="15.75" hidden="false" customHeight="true" outlineLevel="0" collapsed="false">
      <c r="A117" s="66" t="s">
        <v>405</v>
      </c>
      <c r="B117" s="22" t="s">
        <v>60</v>
      </c>
      <c r="D117" s="22" t="s">
        <v>39</v>
      </c>
      <c r="E117" s="13" t="s">
        <v>393</v>
      </c>
    </row>
    <row r="118" customFormat="false" ht="15.75" hidden="false" customHeight="true" outlineLevel="0" collapsed="false">
      <c r="A118" s="66" t="s">
        <v>406</v>
      </c>
      <c r="B118" s="22" t="s">
        <v>60</v>
      </c>
      <c r="D118" s="22" t="s">
        <v>39</v>
      </c>
      <c r="E118" s="13" t="s">
        <v>393</v>
      </c>
    </row>
    <row r="119" customFormat="false" ht="15.75" hidden="false" customHeight="true" outlineLevel="0" collapsed="false">
      <c r="A119" s="66" t="s">
        <v>407</v>
      </c>
      <c r="B119" s="22" t="s">
        <v>60</v>
      </c>
      <c r="D119" s="22" t="s">
        <v>39</v>
      </c>
      <c r="E119" s="13" t="s">
        <v>393</v>
      </c>
    </row>
    <row r="120" customFormat="false" ht="15.75" hidden="false" customHeight="true" outlineLevel="0" collapsed="false">
      <c r="A120" s="66" t="s">
        <v>408</v>
      </c>
      <c r="B120" s="22" t="s">
        <v>60</v>
      </c>
      <c r="D120" s="22" t="s">
        <v>39</v>
      </c>
      <c r="E120" s="13" t="s">
        <v>393</v>
      </c>
    </row>
    <row r="121" customFormat="false" ht="15.75" hidden="false" customHeight="true" outlineLevel="0" collapsed="false">
      <c r="A121" s="66" t="s">
        <v>409</v>
      </c>
      <c r="B121" s="22" t="s">
        <v>60</v>
      </c>
      <c r="D121" s="22" t="s">
        <v>39</v>
      </c>
      <c r="E121" s="13" t="s">
        <v>393</v>
      </c>
    </row>
    <row r="122" customFormat="false" ht="15.75" hidden="false" customHeight="true" outlineLevel="0" collapsed="false">
      <c r="A122" s="66" t="s">
        <v>410</v>
      </c>
      <c r="B122" s="22" t="s">
        <v>60</v>
      </c>
      <c r="D122" s="22" t="s">
        <v>39</v>
      </c>
      <c r="E122" s="13" t="s">
        <v>393</v>
      </c>
    </row>
    <row r="123" customFormat="false" ht="15.75" hidden="false" customHeight="true" outlineLevel="0" collapsed="false">
      <c r="A123" s="57" t="s">
        <v>411</v>
      </c>
      <c r="B123" s="58" t="s">
        <v>60</v>
      </c>
      <c r="C123" s="59" t="s">
        <v>412</v>
      </c>
      <c r="D123" s="59" t="s">
        <v>413</v>
      </c>
      <c r="E123" s="59" t="s">
        <v>355</v>
      </c>
      <c r="F123" s="59"/>
      <c r="G123" s="70" t="s">
        <v>414</v>
      </c>
    </row>
    <row r="124" customFormat="false" ht="15.75" hidden="false" customHeight="true" outlineLevel="0" collapsed="false">
      <c r="A124" s="66" t="s">
        <v>415</v>
      </c>
      <c r="B124" s="22" t="s">
        <v>60</v>
      </c>
      <c r="C124" s="13" t="s">
        <v>416</v>
      </c>
      <c r="D124" s="49" t="s">
        <v>35</v>
      </c>
      <c r="E124" s="13" t="s">
        <v>355</v>
      </c>
      <c r="F124" s="68"/>
    </row>
    <row r="125" customFormat="false" ht="15.75" hidden="false" customHeight="true" outlineLevel="0" collapsed="false">
      <c r="A125" s="66" t="s">
        <v>417</v>
      </c>
      <c r="B125" s="22" t="s">
        <v>60</v>
      </c>
      <c r="C125" s="13" t="s">
        <v>418</v>
      </c>
      <c r="D125" s="49" t="s">
        <v>35</v>
      </c>
      <c r="E125" s="13" t="s">
        <v>355</v>
      </c>
      <c r="F125" s="68"/>
    </row>
    <row r="126" customFormat="false" ht="15.75" hidden="false" customHeight="true" outlineLevel="0" collapsed="false">
      <c r="A126" s="66" t="s">
        <v>419</v>
      </c>
      <c r="B126" s="22" t="s">
        <v>60</v>
      </c>
      <c r="C126" s="13" t="s">
        <v>420</v>
      </c>
      <c r="D126" s="49" t="s">
        <v>35</v>
      </c>
      <c r="E126" s="13" t="s">
        <v>355</v>
      </c>
      <c r="F126" s="68"/>
    </row>
    <row r="127" customFormat="false" ht="15.75" hidden="false" customHeight="true" outlineLevel="0" collapsed="false">
      <c r="A127" s="66" t="s">
        <v>421</v>
      </c>
      <c r="B127" s="22" t="s">
        <v>60</v>
      </c>
      <c r="C127" s="13" t="s">
        <v>422</v>
      </c>
      <c r="D127" s="49" t="s">
        <v>35</v>
      </c>
      <c r="E127" s="13" t="s">
        <v>355</v>
      </c>
      <c r="F127" s="68"/>
    </row>
    <row r="128" customFormat="false" ht="15.75" hidden="false" customHeight="true" outlineLevel="0" collapsed="false">
      <c r="A128" s="66" t="s">
        <v>423</v>
      </c>
      <c r="B128" s="22" t="s">
        <v>60</v>
      </c>
      <c r="C128" s="13" t="s">
        <v>424</v>
      </c>
      <c r="D128" s="49" t="s">
        <v>35</v>
      </c>
      <c r="E128" s="13" t="s">
        <v>355</v>
      </c>
      <c r="F128" s="68"/>
    </row>
    <row r="129" customFormat="false" ht="15.75" hidden="false" customHeight="true" outlineLevel="0" collapsed="false">
      <c r="A129" s="66" t="s">
        <v>425</v>
      </c>
      <c r="B129" s="22" t="s">
        <v>60</v>
      </c>
      <c r="C129" s="13" t="s">
        <v>426</v>
      </c>
      <c r="D129" s="49" t="s">
        <v>35</v>
      </c>
      <c r="E129" s="13" t="s">
        <v>355</v>
      </c>
      <c r="F129" s="68"/>
    </row>
    <row r="130" customFormat="false" ht="15.75" hidden="false" customHeight="true" outlineLevel="0" collapsed="false">
      <c r="A130" s="71" t="s">
        <v>427</v>
      </c>
      <c r="B130" s="58" t="s">
        <v>60</v>
      </c>
      <c r="C130" s="59" t="s">
        <v>428</v>
      </c>
      <c r="D130" s="59" t="s">
        <v>413</v>
      </c>
      <c r="E130" s="59" t="s">
        <v>355</v>
      </c>
      <c r="F130" s="59"/>
      <c r="G130" s="70" t="s">
        <v>429</v>
      </c>
    </row>
    <row r="131" customFormat="false" ht="15.75" hidden="false" customHeight="true" outlineLevel="0" collapsed="false">
      <c r="A131" s="66" t="s">
        <v>430</v>
      </c>
      <c r="B131" s="22" t="s">
        <v>60</v>
      </c>
      <c r="C131" s="13" t="s">
        <v>431</v>
      </c>
      <c r="D131" s="49" t="s">
        <v>35</v>
      </c>
      <c r="E131" s="13" t="s">
        <v>355</v>
      </c>
      <c r="F131" s="68"/>
    </row>
    <row r="132" customFormat="false" ht="15.75" hidden="false" customHeight="true" outlineLevel="0" collapsed="false">
      <c r="A132" s="66" t="s">
        <v>432</v>
      </c>
      <c r="B132" s="22" t="s">
        <v>60</v>
      </c>
      <c r="C132" s="13" t="s">
        <v>433</v>
      </c>
      <c r="D132" s="49" t="s">
        <v>35</v>
      </c>
      <c r="E132" s="13" t="s">
        <v>355</v>
      </c>
      <c r="F132" s="68"/>
    </row>
    <row r="133" customFormat="false" ht="15.75" hidden="false" customHeight="true" outlineLevel="0" collapsed="false">
      <c r="A133" s="66" t="s">
        <v>434</v>
      </c>
      <c r="B133" s="22" t="s">
        <v>60</v>
      </c>
      <c r="C133" s="13" t="s">
        <v>435</v>
      </c>
      <c r="D133" s="13" t="s">
        <v>35</v>
      </c>
      <c r="E133" s="13" t="s">
        <v>355</v>
      </c>
      <c r="F133" s="68"/>
    </row>
    <row r="134" customFormat="false" ht="15.75" hidden="false" customHeight="true" outlineLevel="0" collapsed="false">
      <c r="A134" s="66" t="s">
        <v>436</v>
      </c>
      <c r="B134" s="22" t="s">
        <v>60</v>
      </c>
      <c r="C134" s="13" t="s">
        <v>437</v>
      </c>
      <c r="D134" s="13" t="s">
        <v>35</v>
      </c>
      <c r="E134" s="13" t="s">
        <v>355</v>
      </c>
      <c r="F134" s="68"/>
    </row>
    <row r="135" customFormat="false" ht="15.75" hidden="false" customHeight="true" outlineLevel="0" collapsed="false">
      <c r="A135" s="66" t="s">
        <v>438</v>
      </c>
      <c r="B135" s="22" t="s">
        <v>60</v>
      </c>
      <c r="C135" s="13" t="s">
        <v>439</v>
      </c>
      <c r="D135" s="13" t="s">
        <v>35</v>
      </c>
      <c r="E135" s="13" t="s">
        <v>355</v>
      </c>
      <c r="F135" s="68"/>
    </row>
    <row r="136" customFormat="false" ht="15.75" hidden="false" customHeight="true" outlineLevel="0" collapsed="false">
      <c r="A136" s="66" t="s">
        <v>440</v>
      </c>
      <c r="B136" s="22" t="s">
        <v>60</v>
      </c>
      <c r="C136" s="13" t="s">
        <v>441</v>
      </c>
      <c r="D136" s="13" t="s">
        <v>35</v>
      </c>
      <c r="E136" s="13" t="s">
        <v>355</v>
      </c>
      <c r="F136" s="68"/>
    </row>
    <row r="137" customFormat="false" ht="15.75" hidden="false" customHeight="true" outlineLevel="0" collapsed="false">
      <c r="A137" s="66" t="s">
        <v>442</v>
      </c>
      <c r="B137" s="22" t="s">
        <v>60</v>
      </c>
      <c r="C137" s="13" t="s">
        <v>443</v>
      </c>
      <c r="D137" s="13" t="s">
        <v>35</v>
      </c>
      <c r="E137" s="13" t="s">
        <v>355</v>
      </c>
      <c r="F137" s="68"/>
    </row>
    <row r="138" customFormat="false" ht="15.75" hidden="false" customHeight="true" outlineLevel="0" collapsed="false">
      <c r="A138" s="66" t="s">
        <v>444</v>
      </c>
      <c r="B138" s="22" t="s">
        <v>60</v>
      </c>
      <c r="C138" s="13" t="s">
        <v>445</v>
      </c>
      <c r="D138" s="13" t="s">
        <v>35</v>
      </c>
      <c r="E138" s="13" t="s">
        <v>355</v>
      </c>
      <c r="F138" s="68"/>
    </row>
    <row r="139" customFormat="false" ht="15.75" hidden="false" customHeight="true" outlineLevel="0" collapsed="false">
      <c r="A139" s="71" t="s">
        <v>446</v>
      </c>
      <c r="B139" s="58" t="s">
        <v>60</v>
      </c>
      <c r="C139" s="59" t="s">
        <v>447</v>
      </c>
      <c r="D139" s="59" t="s">
        <v>43</v>
      </c>
      <c r="E139" s="59" t="s">
        <v>355</v>
      </c>
      <c r="F139" s="59"/>
      <c r="G139" s="70" t="s">
        <v>429</v>
      </c>
    </row>
    <row r="140" customFormat="false" ht="15.75" hidden="false" customHeight="true" outlineLevel="0" collapsed="false">
      <c r="A140" s="66" t="s">
        <v>448</v>
      </c>
      <c r="B140" s="22" t="s">
        <v>60</v>
      </c>
      <c r="C140" s="13" t="s">
        <v>449</v>
      </c>
      <c r="D140" s="13" t="s">
        <v>35</v>
      </c>
      <c r="E140" s="13" t="s">
        <v>355</v>
      </c>
      <c r="F140" s="68"/>
    </row>
    <row r="141" customFormat="false" ht="15.75" hidden="false" customHeight="true" outlineLevel="0" collapsed="false">
      <c r="A141" s="66" t="s">
        <v>450</v>
      </c>
      <c r="B141" s="22" t="s">
        <v>60</v>
      </c>
      <c r="C141" s="13" t="s">
        <v>451</v>
      </c>
      <c r="D141" s="13" t="s">
        <v>35</v>
      </c>
      <c r="E141" s="13" t="s">
        <v>355</v>
      </c>
      <c r="F141" s="68"/>
    </row>
    <row r="142" customFormat="false" ht="15.75" hidden="false" customHeight="true" outlineLevel="0" collapsed="false">
      <c r="A142" s="66" t="s">
        <v>452</v>
      </c>
      <c r="B142" s="22" t="s">
        <v>60</v>
      </c>
      <c r="C142" s="13" t="s">
        <v>453</v>
      </c>
      <c r="D142" s="13" t="s">
        <v>35</v>
      </c>
      <c r="E142" s="13" t="s">
        <v>355</v>
      </c>
      <c r="F142" s="68"/>
    </row>
    <row r="143" customFormat="false" ht="15.75" hidden="false" customHeight="true" outlineLevel="0" collapsed="false">
      <c r="A143" s="66" t="s">
        <v>454</v>
      </c>
      <c r="B143" s="22" t="s">
        <v>60</v>
      </c>
      <c r="C143" s="13" t="s">
        <v>455</v>
      </c>
      <c r="D143" s="13" t="s">
        <v>35</v>
      </c>
      <c r="E143" s="13" t="s">
        <v>355</v>
      </c>
      <c r="F143" s="68"/>
    </row>
    <row r="144" customFormat="false" ht="15.75" hidden="false" customHeight="true" outlineLevel="0" collapsed="false">
      <c r="A144" s="66" t="s">
        <v>456</v>
      </c>
      <c r="B144" s="22" t="s">
        <v>60</v>
      </c>
      <c r="C144" s="13" t="s">
        <v>457</v>
      </c>
      <c r="D144" s="13" t="s">
        <v>35</v>
      </c>
      <c r="E144" s="13" t="s">
        <v>355</v>
      </c>
      <c r="F144" s="68"/>
    </row>
    <row r="145" customFormat="false" ht="15.75" hidden="false" customHeight="true" outlineLevel="0" collapsed="false">
      <c r="A145" s="71" t="s">
        <v>458</v>
      </c>
      <c r="B145" s="58" t="s">
        <v>60</v>
      </c>
      <c r="C145" s="59" t="s">
        <v>459</v>
      </c>
      <c r="D145" s="59" t="s">
        <v>43</v>
      </c>
      <c r="E145" s="59" t="s">
        <v>355</v>
      </c>
      <c r="F145" s="59"/>
      <c r="G145" s="70" t="s">
        <v>460</v>
      </c>
    </row>
    <row r="1048537" customFormat="false" ht="15.75" hidden="false" customHeight="true" outlineLevel="0" collapsed="false">
      <c r="E1048537" s="13" t="s">
        <v>355</v>
      </c>
    </row>
  </sheetData>
  <dataValidations count="1">
    <dataValidation allowBlank="true" errorStyle="stop" operator="between" showDropDown="false" showErrorMessage="true" showInputMessage="true" sqref="D2:D50 D55:D122 D124:D129 D131:D132" type="list">
      <formula1>$O$3:$O$8</formula1>
      <formula2>0</formula2>
    </dataValidation>
  </dataValidations>
  <printOptions headings="false" gridLines="false" gridLinesSet="true" horizontalCentered="false" verticalCentered="false"/>
  <pageMargins left="0" right="0" top="0" bottom="0"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cellIs" priority="2" operator="equal" id="{998E3034-DE29-4946-95B9-80323A6D3673}">
            <xm:f>'Cell References'!$D$5</xm:f>
            <x14:dxf>
              <fill>
                <patternFill>
                  <bgColor rgb="FF00B0F0"/>
                </patternFill>
              </fill>
            </x14:dxf>
          </x14:cfRule>
          <x14:cfRule type="cellIs" priority="3" operator="equal" id="{46177637-967C-4652-A7AF-AD10C393137F}">
            <xm:f>'Cell References'!$D$4</xm:f>
            <x14:dxf>
              <fill>
                <patternFill>
                  <bgColor rgb="FF92D050"/>
                </patternFill>
              </fill>
            </x14:dxf>
          </x14:cfRule>
          <x14:cfRule type="cellIs" priority="4" operator="equal" id="{19B3F741-958B-4B4E-8225-175438346755}">
            <xm:f>'Cell References'!$D$8</xm:f>
            <x14:dxf>
              <fill>
                <patternFill>
                  <bgColor rgb="FFE920F8"/>
                </patternFill>
              </fill>
            </x14:dxf>
          </x14:cfRule>
          <x14:cfRule type="cellIs" priority="5" operator="equal" id="{FB4F1A46-70D5-4BC9-ABBE-E553AC959444}">
            <xm:f>'Cell References'!$D$7</xm:f>
            <x14:dxf>
              <fill>
                <patternFill>
                  <bgColor rgb="FFFF0000"/>
                </patternFill>
              </fill>
            </x14:dxf>
          </x14:cfRule>
          <x14:cfRule type="cellIs" priority="6" operator="equal" id="{912F9DF0-B8A6-412A-AC82-7FB5FD8B6472}">
            <xm:f>'Cell References'!$D$6</xm:f>
            <x14:dxf>
              <fill>
                <patternFill>
                  <bgColor theme="8"/>
                </patternFill>
              </fill>
            </x14:dxf>
          </x14:cfRule>
          <xm:sqref>D55:D1048576 D1:D50</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47" activePane="bottomLeft" state="frozen"/>
      <selection pane="topLeft" activeCell="A1" activeCellId="0" sqref="A1"/>
      <selection pane="bottomLeft" activeCell="A48" activeCellId="0" sqref="A48"/>
    </sheetView>
  </sheetViews>
  <sheetFormatPr defaultColWidth="12.42578125" defaultRowHeight="15.75" zeroHeight="false" outlineLevelRow="0" outlineLevelCol="0"/>
  <cols>
    <col collapsed="false" customWidth="true" hidden="false" outlineLevel="0" max="1" min="1" style="0" width="14"/>
    <col collapsed="false" customWidth="true" hidden="false" outlineLevel="0" max="2" min="2" style="0" width="17.86"/>
    <col collapsed="false" customWidth="true" hidden="false" outlineLevel="0" max="3" min="3" style="0" width="27.71"/>
    <col collapsed="false" customWidth="true" hidden="false" outlineLevel="0" max="4" min="4" style="0" width="29"/>
    <col collapsed="false" customWidth="true" hidden="false" outlineLevel="0" max="5" min="5" style="72" width="9.71"/>
    <col collapsed="false" customWidth="true" hidden="false" outlineLevel="0" max="6" min="6" style="0" width="24.14"/>
    <col collapsed="false" customWidth="true" hidden="false" outlineLevel="0" max="7" min="7" style="0" width="34.29"/>
    <col collapsed="false" customWidth="true" hidden="false" outlineLevel="0" max="8" min="8" style="73" width="13.29"/>
    <col collapsed="false" customWidth="true" hidden="false" outlineLevel="0" max="9" min="9" style="72" width="15.14"/>
    <col collapsed="false" customWidth="true" hidden="false" outlineLevel="0" max="10" min="10" style="0" width="144.86"/>
  </cols>
  <sheetData>
    <row r="1" customFormat="false" ht="40.5" hidden="false" customHeight="true" outlineLevel="0" collapsed="false">
      <c r="A1" s="74" t="s">
        <v>48</v>
      </c>
      <c r="B1" s="75" t="s">
        <v>461</v>
      </c>
      <c r="C1" s="75" t="s">
        <v>462</v>
      </c>
      <c r="D1" s="75" t="s">
        <v>463</v>
      </c>
      <c r="E1" s="76" t="s">
        <v>464</v>
      </c>
      <c r="F1" s="74" t="s">
        <v>465</v>
      </c>
      <c r="G1" s="74" t="s">
        <v>466</v>
      </c>
      <c r="H1" s="77" t="s">
        <v>467</v>
      </c>
      <c r="I1" s="78" t="s">
        <v>468</v>
      </c>
      <c r="J1" s="79" t="s">
        <v>469</v>
      </c>
      <c r="K1" s="80"/>
      <c r="L1" s="80"/>
      <c r="M1" s="80"/>
      <c r="N1" s="80"/>
      <c r="O1" s="80"/>
      <c r="P1" s="80"/>
      <c r="Q1" s="80"/>
      <c r="R1" s="80"/>
      <c r="S1" s="80"/>
      <c r="T1" s="80"/>
      <c r="U1" s="80"/>
      <c r="V1" s="80"/>
      <c r="W1" s="80"/>
      <c r="X1" s="80"/>
      <c r="Y1" s="80"/>
      <c r="Z1" s="80"/>
      <c r="AA1" s="80"/>
      <c r="AB1" s="80"/>
    </row>
    <row r="2" customFormat="false" ht="23.85" hidden="false" customHeight="false" outlineLevel="0" collapsed="false">
      <c r="A2" s="81" t="s">
        <v>68</v>
      </c>
      <c r="B2" s="81" t="s">
        <v>470</v>
      </c>
      <c r="C2" s="82" t="s">
        <v>471</v>
      </c>
      <c r="D2" s="82" t="s">
        <v>472</v>
      </c>
      <c r="E2" s="83" t="n">
        <v>43203</v>
      </c>
      <c r="F2" s="81" t="s">
        <v>473</v>
      </c>
      <c r="G2" s="84" t="s">
        <v>474</v>
      </c>
      <c r="H2" s="85" t="s">
        <v>475</v>
      </c>
      <c r="I2" s="86"/>
      <c r="J2" s="87" t="s">
        <v>476</v>
      </c>
    </row>
    <row r="3" customFormat="false" ht="15.75" hidden="false" customHeight="false" outlineLevel="0" collapsed="false">
      <c r="A3" s="88" t="s">
        <v>81</v>
      </c>
      <c r="B3" s="88" t="s">
        <v>477</v>
      </c>
      <c r="C3" s="89" t="s">
        <v>478</v>
      </c>
      <c r="D3" s="89" t="s">
        <v>479</v>
      </c>
      <c r="E3" s="90" t="n">
        <v>43223</v>
      </c>
      <c r="F3" s="88" t="s">
        <v>480</v>
      </c>
      <c r="G3" s="91" t="s">
        <v>481</v>
      </c>
      <c r="H3" s="92"/>
      <c r="I3" s="93" t="s">
        <v>482</v>
      </c>
      <c r="J3" s="94" t="s">
        <v>483</v>
      </c>
    </row>
    <row r="4" customFormat="false" ht="123" hidden="false" customHeight="true" outlineLevel="0" collapsed="false">
      <c r="A4" s="95" t="s">
        <v>84</v>
      </c>
      <c r="B4" s="95" t="s">
        <v>484</v>
      </c>
      <c r="C4" s="95" t="s">
        <v>485</v>
      </c>
      <c r="D4" s="95" t="s">
        <v>486</v>
      </c>
      <c r="E4" s="96" t="n">
        <v>43219</v>
      </c>
      <c r="F4" s="95" t="s">
        <v>487</v>
      </c>
      <c r="G4" s="97" t="s">
        <v>488</v>
      </c>
      <c r="H4" s="98" t="s">
        <v>489</v>
      </c>
      <c r="I4" s="99"/>
      <c r="J4" s="87" t="s">
        <v>490</v>
      </c>
    </row>
    <row r="5" customFormat="false" ht="15.75" hidden="false" customHeight="false" outlineLevel="0" collapsed="false">
      <c r="A5" s="81" t="s">
        <v>104</v>
      </c>
      <c r="B5" s="81" t="s">
        <v>491</v>
      </c>
      <c r="C5" s="100" t="s">
        <v>492</v>
      </c>
      <c r="D5" s="100" t="s">
        <v>493</v>
      </c>
      <c r="E5" s="83" t="n">
        <v>43212</v>
      </c>
      <c r="F5" s="81" t="s">
        <v>494</v>
      </c>
      <c r="G5" s="84" t="s">
        <v>495</v>
      </c>
      <c r="H5" s="101"/>
      <c r="I5" s="86"/>
      <c r="J5" s="25" t="s">
        <v>496</v>
      </c>
    </row>
    <row r="6" customFormat="false" ht="15.75" hidden="false" customHeight="false" outlineLevel="0" collapsed="false">
      <c r="A6" s="102" t="s">
        <v>111</v>
      </c>
      <c r="B6" s="88" t="s">
        <v>497</v>
      </c>
      <c r="C6" s="103" t="s">
        <v>498</v>
      </c>
      <c r="D6" s="103" t="s">
        <v>479</v>
      </c>
      <c r="E6" s="104" t="n">
        <v>43211</v>
      </c>
      <c r="F6" s="102" t="s">
        <v>499</v>
      </c>
      <c r="G6" s="105" t="s">
        <v>500</v>
      </c>
      <c r="H6" s="92"/>
      <c r="I6" s="86"/>
      <c r="J6" s="94"/>
    </row>
    <row r="7" customFormat="false" ht="15.75" hidden="false" customHeight="false" outlineLevel="0" collapsed="false">
      <c r="A7" s="106" t="s">
        <v>117</v>
      </c>
      <c r="B7" s="106" t="s">
        <v>501</v>
      </c>
      <c r="C7" s="106" t="s">
        <v>502</v>
      </c>
      <c r="D7" s="106"/>
      <c r="E7" s="107" t="n">
        <v>43227</v>
      </c>
      <c r="F7" s="106" t="s">
        <v>503</v>
      </c>
      <c r="G7" s="108" t="s">
        <v>504</v>
      </c>
      <c r="H7" s="109" t="s">
        <v>505</v>
      </c>
    </row>
    <row r="8" customFormat="false" ht="23.85" hidden="false" customHeight="false" outlineLevel="0" collapsed="false">
      <c r="A8" s="81" t="s">
        <v>121</v>
      </c>
      <c r="B8" s="81" t="s">
        <v>506</v>
      </c>
      <c r="C8" s="81" t="s">
        <v>507</v>
      </c>
      <c r="D8" s="81" t="s">
        <v>479</v>
      </c>
      <c r="E8" s="83" t="n">
        <v>43207</v>
      </c>
      <c r="F8" s="81" t="s">
        <v>508</v>
      </c>
      <c r="G8" s="84" t="s">
        <v>509</v>
      </c>
      <c r="H8" s="101"/>
      <c r="I8" s="110" t="s">
        <v>482</v>
      </c>
      <c r="J8" s="87" t="s">
        <v>510</v>
      </c>
    </row>
    <row r="9" s="113" customFormat="true" ht="23.85" hidden="false" customHeight="false" outlineLevel="0" collapsed="false">
      <c r="A9" s="111" t="s">
        <v>136</v>
      </c>
      <c r="B9" s="81" t="s">
        <v>501</v>
      </c>
      <c r="C9" s="81" t="s">
        <v>511</v>
      </c>
      <c r="D9" s="81" t="s">
        <v>486</v>
      </c>
      <c r="E9" s="83" t="n">
        <v>43213</v>
      </c>
      <c r="F9" s="81" t="s">
        <v>487</v>
      </c>
      <c r="G9" s="84" t="s">
        <v>488</v>
      </c>
      <c r="H9" s="85"/>
      <c r="I9" s="110"/>
      <c r="J9" s="112" t="s">
        <v>512</v>
      </c>
    </row>
    <row r="10" customFormat="false" ht="79.85" hidden="false" customHeight="false" outlineLevel="0" collapsed="false">
      <c r="A10" s="81" t="s">
        <v>136</v>
      </c>
      <c r="B10" s="81" t="s">
        <v>506</v>
      </c>
      <c r="C10" s="81" t="s">
        <v>507</v>
      </c>
      <c r="D10" s="88" t="s">
        <v>479</v>
      </c>
      <c r="E10" s="83" t="n">
        <v>43207</v>
      </c>
      <c r="F10" s="81" t="s">
        <v>508</v>
      </c>
      <c r="G10" s="81" t="s">
        <v>509</v>
      </c>
      <c r="H10" s="101"/>
      <c r="I10" s="86"/>
      <c r="J10" s="87" t="s">
        <v>513</v>
      </c>
    </row>
    <row r="11" customFormat="false" ht="57.45" hidden="false" customHeight="false" outlineLevel="0" collapsed="false">
      <c r="A11" s="81" t="s">
        <v>140</v>
      </c>
      <c r="B11" s="81" t="s">
        <v>514</v>
      </c>
      <c r="C11" s="81" t="s">
        <v>515</v>
      </c>
      <c r="D11" s="81" t="s">
        <v>516</v>
      </c>
      <c r="E11" s="83" t="n">
        <v>43214</v>
      </c>
      <c r="F11" s="81" t="s">
        <v>517</v>
      </c>
      <c r="G11" s="84" t="s">
        <v>518</v>
      </c>
      <c r="H11" s="85"/>
      <c r="I11" s="110" t="s">
        <v>519</v>
      </c>
      <c r="J11" s="87" t="s">
        <v>520</v>
      </c>
    </row>
    <row r="12" s="113" customFormat="true" ht="46.25" hidden="false" customHeight="false" outlineLevel="0" collapsed="false">
      <c r="A12" s="81" t="s">
        <v>144</v>
      </c>
      <c r="B12" s="81" t="s">
        <v>470</v>
      </c>
      <c r="C12" s="82" t="s">
        <v>521</v>
      </c>
      <c r="D12" s="82" t="s">
        <v>472</v>
      </c>
      <c r="E12" s="83" t="n">
        <v>43203</v>
      </c>
      <c r="F12" s="81" t="s">
        <v>473</v>
      </c>
      <c r="G12" s="84" t="s">
        <v>474</v>
      </c>
      <c r="H12" s="85" t="s">
        <v>475</v>
      </c>
      <c r="I12" s="110"/>
      <c r="J12" s="114" t="s">
        <v>522</v>
      </c>
    </row>
    <row r="13" customFormat="false" ht="15.75" hidden="false" customHeight="false" outlineLevel="0" collapsed="false">
      <c r="A13" s="88" t="s">
        <v>148</v>
      </c>
      <c r="B13" s="88" t="s">
        <v>506</v>
      </c>
      <c r="C13" s="89" t="s">
        <v>523</v>
      </c>
      <c r="D13" s="89" t="s">
        <v>486</v>
      </c>
      <c r="E13" s="90" t="n">
        <v>43207</v>
      </c>
      <c r="F13" s="88" t="s">
        <v>487</v>
      </c>
      <c r="G13" s="91" t="s">
        <v>488</v>
      </c>
      <c r="H13" s="98" t="s">
        <v>489</v>
      </c>
      <c r="I13" s="93" t="s">
        <v>482</v>
      </c>
      <c r="J13" s="94" t="s">
        <v>524</v>
      </c>
    </row>
    <row r="14" customFormat="false" ht="68.65" hidden="false" customHeight="false" outlineLevel="0" collapsed="false">
      <c r="A14" s="81" t="s">
        <v>151</v>
      </c>
      <c r="B14" s="81" t="s">
        <v>497</v>
      </c>
      <c r="C14" s="81" t="s">
        <v>525</v>
      </c>
      <c r="D14" s="81" t="s">
        <v>516</v>
      </c>
      <c r="E14" s="83" t="n">
        <v>43211</v>
      </c>
      <c r="F14" s="81" t="s">
        <v>517</v>
      </c>
      <c r="G14" s="84" t="s">
        <v>518</v>
      </c>
      <c r="H14" s="85"/>
      <c r="I14" s="110" t="s">
        <v>519</v>
      </c>
      <c r="J14" s="87" t="s">
        <v>526</v>
      </c>
    </row>
    <row r="15" customFormat="false" ht="15.75" hidden="false" customHeight="false" outlineLevel="0" collapsed="false">
      <c r="A15" s="20" t="s">
        <v>154</v>
      </c>
      <c r="B15" s="20" t="s">
        <v>527</v>
      </c>
      <c r="C15" s="24" t="s">
        <v>528</v>
      </c>
      <c r="D15" s="20" t="s">
        <v>529</v>
      </c>
      <c r="E15" s="99" t="n">
        <v>43209</v>
      </c>
      <c r="F15" s="20" t="s">
        <v>530</v>
      </c>
      <c r="G15" s="115" t="s">
        <v>531</v>
      </c>
      <c r="H15" s="116" t="s">
        <v>532</v>
      </c>
      <c r="I15" s="99" t="s">
        <v>519</v>
      </c>
      <c r="J15" s="25" t="s">
        <v>533</v>
      </c>
    </row>
    <row r="16" customFormat="false" ht="102.2" hidden="false" customHeight="false" outlineLevel="0" collapsed="false">
      <c r="A16" s="117" t="s">
        <v>157</v>
      </c>
      <c r="B16" s="117" t="s">
        <v>470</v>
      </c>
      <c r="C16" s="118" t="s">
        <v>534</v>
      </c>
      <c r="D16" s="117" t="s">
        <v>516</v>
      </c>
      <c r="E16" s="119" t="n">
        <v>43205</v>
      </c>
      <c r="F16" s="117" t="s">
        <v>517</v>
      </c>
      <c r="G16" s="120" t="s">
        <v>518</v>
      </c>
      <c r="H16" s="121"/>
      <c r="I16" s="86" t="s">
        <v>519</v>
      </c>
      <c r="J16" s="87" t="s">
        <v>535</v>
      </c>
    </row>
    <row r="17" customFormat="false" ht="46.25" hidden="false" customHeight="false" outlineLevel="0" collapsed="false">
      <c r="A17" s="81" t="s">
        <v>160</v>
      </c>
      <c r="B17" s="81" t="s">
        <v>514</v>
      </c>
      <c r="C17" s="100" t="s">
        <v>536</v>
      </c>
      <c r="D17" s="100"/>
      <c r="E17" s="83" t="n">
        <v>43202</v>
      </c>
      <c r="F17" s="81" t="s">
        <v>537</v>
      </c>
      <c r="G17" s="81" t="s">
        <v>538</v>
      </c>
      <c r="H17" s="122"/>
      <c r="I17" s="86"/>
      <c r="J17" s="87" t="s">
        <v>539</v>
      </c>
    </row>
    <row r="18" customFormat="false" ht="15.75" hidden="false" customHeight="false" outlineLevel="0" collapsed="false">
      <c r="A18" s="88" t="s">
        <v>164</v>
      </c>
      <c r="B18" s="88" t="s">
        <v>540</v>
      </c>
      <c r="C18" s="88" t="s">
        <v>541</v>
      </c>
      <c r="D18" s="88" t="s">
        <v>542</v>
      </c>
      <c r="E18" s="90" t="n">
        <v>43215</v>
      </c>
      <c r="F18" s="88" t="s">
        <v>543</v>
      </c>
      <c r="G18" s="123" t="s">
        <v>544</v>
      </c>
      <c r="H18" s="101" t="s">
        <v>545</v>
      </c>
      <c r="I18" s="86" t="s">
        <v>519</v>
      </c>
      <c r="J18" s="94"/>
    </row>
    <row r="19" s="113" customFormat="true" ht="15.75" hidden="false" customHeight="false" outlineLevel="0" collapsed="false">
      <c r="A19" s="81" t="s">
        <v>167</v>
      </c>
      <c r="B19" s="81" t="s">
        <v>491</v>
      </c>
      <c r="C19" s="124" t="s">
        <v>546</v>
      </c>
      <c r="D19" s="124" t="s">
        <v>479</v>
      </c>
      <c r="E19" s="83" t="n">
        <v>43212</v>
      </c>
      <c r="F19" s="81" t="s">
        <v>547</v>
      </c>
      <c r="G19" s="125" t="s">
        <v>548</v>
      </c>
      <c r="H19" s="85"/>
      <c r="I19" s="110" t="s">
        <v>519</v>
      </c>
      <c r="J19" s="33" t="s">
        <v>549</v>
      </c>
    </row>
    <row r="20" customFormat="false" ht="15.75" hidden="false" customHeight="false" outlineLevel="0" collapsed="false">
      <c r="A20" s="88" t="s">
        <v>172</v>
      </c>
      <c r="B20" s="88" t="s">
        <v>514</v>
      </c>
      <c r="C20" s="89" t="s">
        <v>550</v>
      </c>
      <c r="D20" s="89" t="s">
        <v>551</v>
      </c>
      <c r="E20" s="90" t="n">
        <v>43202</v>
      </c>
      <c r="F20" s="88" t="s">
        <v>537</v>
      </c>
      <c r="G20" s="91" t="s">
        <v>538</v>
      </c>
      <c r="H20" s="92"/>
      <c r="I20" s="93" t="s">
        <v>482</v>
      </c>
      <c r="J20" s="25" t="s">
        <v>552</v>
      </c>
    </row>
    <row r="21" s="113" customFormat="true" ht="23.85" hidden="false" customHeight="false" outlineLevel="0" collapsed="false">
      <c r="A21" s="81" t="s">
        <v>172</v>
      </c>
      <c r="B21" s="81" t="s">
        <v>553</v>
      </c>
      <c r="C21" s="81" t="s">
        <v>554</v>
      </c>
      <c r="D21" s="81" t="s">
        <v>479</v>
      </c>
      <c r="E21" s="126" t="n">
        <v>43232</v>
      </c>
      <c r="F21" s="81" t="s">
        <v>555</v>
      </c>
      <c r="G21" s="81" t="s">
        <v>556</v>
      </c>
      <c r="H21" s="85"/>
      <c r="I21" s="110"/>
      <c r="J21" s="127" t="s">
        <v>557</v>
      </c>
    </row>
    <row r="22" s="113" customFormat="true" ht="15.75" hidden="false" customHeight="false" outlineLevel="0" collapsed="false">
      <c r="A22" s="81" t="s">
        <v>175</v>
      </c>
      <c r="B22" s="81" t="s">
        <v>558</v>
      </c>
      <c r="C22" s="82" t="s">
        <v>559</v>
      </c>
      <c r="D22" s="82" t="s">
        <v>560</v>
      </c>
      <c r="E22" s="83" t="n">
        <v>43222</v>
      </c>
      <c r="F22" s="81" t="s">
        <v>561</v>
      </c>
      <c r="G22" s="84" t="s">
        <v>562</v>
      </c>
      <c r="H22" s="85" t="s">
        <v>563</v>
      </c>
      <c r="I22" s="110"/>
      <c r="J22" s="112" t="s">
        <v>564</v>
      </c>
    </row>
    <row r="23" customFormat="false" ht="23.85" hidden="false" customHeight="false" outlineLevel="0" collapsed="false">
      <c r="A23" s="111" t="s">
        <v>178</v>
      </c>
      <c r="B23" s="81" t="s">
        <v>501</v>
      </c>
      <c r="C23" s="81" t="s">
        <v>565</v>
      </c>
      <c r="D23" s="81"/>
      <c r="E23" s="83" t="n">
        <v>43213</v>
      </c>
      <c r="F23" s="81" t="s">
        <v>487</v>
      </c>
      <c r="G23" s="81" t="s">
        <v>488</v>
      </c>
      <c r="H23" s="101"/>
      <c r="I23" s="86"/>
      <c r="J23" s="87" t="s">
        <v>566</v>
      </c>
    </row>
    <row r="24" customFormat="false" ht="15.75" hidden="false" customHeight="false" outlineLevel="0" collapsed="false">
      <c r="A24" s="88" t="s">
        <v>182</v>
      </c>
      <c r="B24" s="88" t="s">
        <v>567</v>
      </c>
      <c r="C24" s="88" t="s">
        <v>568</v>
      </c>
      <c r="D24" s="88" t="s">
        <v>479</v>
      </c>
      <c r="E24" s="128" t="n">
        <v>43222</v>
      </c>
      <c r="F24" s="88" t="s">
        <v>569</v>
      </c>
      <c r="G24" s="91" t="s">
        <v>570</v>
      </c>
      <c r="H24" s="122" t="s">
        <v>571</v>
      </c>
      <c r="I24" s="93" t="s">
        <v>482</v>
      </c>
      <c r="J24" s="129"/>
    </row>
    <row r="25" s="61" customFormat="true" ht="15.75" hidden="false" customHeight="false" outlineLevel="0" collapsed="false">
      <c r="A25" s="81" t="s">
        <v>185</v>
      </c>
      <c r="B25" s="81" t="s">
        <v>572</v>
      </c>
      <c r="C25" s="81" t="s">
        <v>573</v>
      </c>
      <c r="D25" s="81" t="s">
        <v>574</v>
      </c>
      <c r="E25" s="83" t="n">
        <v>43123</v>
      </c>
      <c r="F25" s="81" t="s">
        <v>575</v>
      </c>
      <c r="G25" s="81" t="s">
        <v>576</v>
      </c>
      <c r="H25" s="85"/>
      <c r="I25" s="110" t="s">
        <v>519</v>
      </c>
      <c r="J25" s="33" t="s">
        <v>577</v>
      </c>
    </row>
    <row r="26" customFormat="false" ht="15.75" hidden="false" customHeight="false" outlineLevel="0" collapsed="false">
      <c r="A26" s="130" t="s">
        <v>188</v>
      </c>
      <c r="B26" s="130" t="s">
        <v>578</v>
      </c>
      <c r="C26" s="131" t="s">
        <v>579</v>
      </c>
      <c r="D26" s="131" t="s">
        <v>580</v>
      </c>
      <c r="E26" s="132" t="n">
        <v>43081</v>
      </c>
      <c r="F26" s="130" t="s">
        <v>581</v>
      </c>
      <c r="G26" s="133" t="s">
        <v>582</v>
      </c>
      <c r="H26" s="134"/>
      <c r="I26" s="135" t="s">
        <v>519</v>
      </c>
      <c r="J26" s="94"/>
    </row>
    <row r="27" customFormat="false" ht="23.25" hidden="false" customHeight="false" outlineLevel="0" collapsed="false">
      <c r="A27" s="81" t="s">
        <v>191</v>
      </c>
      <c r="B27" s="81" t="s">
        <v>477</v>
      </c>
      <c r="C27" s="100" t="s">
        <v>583</v>
      </c>
      <c r="D27" s="100" t="s">
        <v>584</v>
      </c>
      <c r="E27" s="83" t="n">
        <v>43204</v>
      </c>
      <c r="F27" s="81" t="s">
        <v>585</v>
      </c>
      <c r="G27" s="84" t="s">
        <v>586</v>
      </c>
      <c r="H27" s="85"/>
      <c r="I27" s="110" t="s">
        <v>519</v>
      </c>
      <c r="J27" s="136" t="s">
        <v>587</v>
      </c>
    </row>
    <row r="28" customFormat="false" ht="57.45" hidden="false" customHeight="false" outlineLevel="0" collapsed="false">
      <c r="A28" s="81" t="s">
        <v>191</v>
      </c>
      <c r="B28" s="81" t="s">
        <v>477</v>
      </c>
      <c r="C28" s="81" t="s">
        <v>588</v>
      </c>
      <c r="D28" s="81" t="s">
        <v>486</v>
      </c>
      <c r="E28" s="83" t="n">
        <v>43204</v>
      </c>
      <c r="F28" s="81" t="s">
        <v>487</v>
      </c>
      <c r="G28" s="81" t="s">
        <v>488</v>
      </c>
      <c r="H28" s="85"/>
      <c r="I28" s="86" t="s">
        <v>519</v>
      </c>
      <c r="J28" s="87" t="s">
        <v>589</v>
      </c>
    </row>
    <row r="29" customFormat="false" ht="75" hidden="false" customHeight="true" outlineLevel="0" collapsed="false">
      <c r="A29" s="137" t="s">
        <v>195</v>
      </c>
      <c r="B29" s="137" t="s">
        <v>572</v>
      </c>
      <c r="C29" s="138" t="s">
        <v>590</v>
      </c>
      <c r="D29" s="138" t="s">
        <v>591</v>
      </c>
      <c r="E29" s="139" t="n">
        <v>43123</v>
      </c>
      <c r="F29" s="137" t="s">
        <v>575</v>
      </c>
      <c r="G29" s="140" t="s">
        <v>576</v>
      </c>
      <c r="H29" s="121" t="s">
        <v>592</v>
      </c>
      <c r="I29" s="86"/>
      <c r="J29" s="87" t="s">
        <v>593</v>
      </c>
    </row>
    <row r="30" customFormat="false" ht="15.75" hidden="false" customHeight="false" outlineLevel="0" collapsed="false">
      <c r="A30" s="129" t="s">
        <v>198</v>
      </c>
      <c r="B30" s="2" t="s">
        <v>594</v>
      </c>
      <c r="C30" s="129" t="s">
        <v>595</v>
      </c>
      <c r="D30" s="129" t="s">
        <v>596</v>
      </c>
      <c r="E30" s="141" t="n">
        <v>43235</v>
      </c>
      <c r="F30" s="129" t="s">
        <v>597</v>
      </c>
      <c r="G30" s="142" t="s">
        <v>598</v>
      </c>
      <c r="H30" s="73" t="s">
        <v>599</v>
      </c>
      <c r="I30" s="141" t="s">
        <v>519</v>
      </c>
      <c r="J30" s="129"/>
    </row>
    <row r="31" customFormat="false" ht="15.75" hidden="false" customHeight="true" outlineLevel="0" collapsed="false">
      <c r="A31" s="13" t="s">
        <v>207</v>
      </c>
      <c r="B31" s="13" t="s">
        <v>600</v>
      </c>
      <c r="C31" s="13" t="s">
        <v>559</v>
      </c>
      <c r="D31" s="13" t="s">
        <v>601</v>
      </c>
      <c r="E31" s="143" t="n">
        <v>43222</v>
      </c>
      <c r="F31" s="20" t="s">
        <v>561</v>
      </c>
      <c r="G31" s="115" t="s">
        <v>562</v>
      </c>
      <c r="H31" s="116" t="s">
        <v>563</v>
      </c>
      <c r="I31" s="143" t="s">
        <v>519</v>
      </c>
      <c r="J31" s="13" t="s">
        <v>602</v>
      </c>
    </row>
    <row r="32" customFormat="false" ht="15.75" hidden="false" customHeight="true" outlineLevel="0" collapsed="false">
      <c r="A32" s="24" t="s">
        <v>210</v>
      </c>
      <c r="B32" s="24" t="s">
        <v>603</v>
      </c>
      <c r="C32" s="24" t="s">
        <v>604</v>
      </c>
      <c r="D32" s="24" t="s">
        <v>479</v>
      </c>
      <c r="E32" s="144" t="n">
        <v>43222</v>
      </c>
      <c r="F32" s="24" t="s">
        <v>605</v>
      </c>
      <c r="G32" s="115" t="s">
        <v>606</v>
      </c>
      <c r="H32" s="116" t="s">
        <v>607</v>
      </c>
      <c r="I32" s="144" t="s">
        <v>519</v>
      </c>
      <c r="J32" s="13" t="s">
        <v>608</v>
      </c>
    </row>
    <row r="33" customFormat="false" ht="15.75" hidden="false" customHeight="true" outlineLevel="0" collapsed="false">
      <c r="A33" s="13" t="s">
        <v>213</v>
      </c>
      <c r="B33" s="13" t="s">
        <v>470</v>
      </c>
      <c r="C33" s="13" t="s">
        <v>609</v>
      </c>
      <c r="D33" s="13" t="s">
        <v>472</v>
      </c>
      <c r="E33" s="143" t="n">
        <v>43203</v>
      </c>
      <c r="F33" s="13" t="s">
        <v>610</v>
      </c>
      <c r="G33" s="123" t="s">
        <v>611</v>
      </c>
      <c r="H33" s="116" t="s">
        <v>612</v>
      </c>
      <c r="I33" s="143" t="s">
        <v>519</v>
      </c>
      <c r="J33" s="13" t="s">
        <v>613</v>
      </c>
    </row>
    <row r="34" customFormat="false" ht="15.75" hidden="false" customHeight="true" outlineLevel="0" collapsed="false">
      <c r="A34" s="13" t="s">
        <v>216</v>
      </c>
      <c r="B34" s="13" t="s">
        <v>506</v>
      </c>
      <c r="C34" s="145" t="s">
        <v>614</v>
      </c>
      <c r="D34" s="13" t="s">
        <v>615</v>
      </c>
      <c r="E34" s="143" t="n">
        <v>43207</v>
      </c>
      <c r="F34" s="13" t="s">
        <v>616</v>
      </c>
      <c r="G34" s="115" t="s">
        <v>617</v>
      </c>
      <c r="H34" s="116" t="s">
        <v>618</v>
      </c>
      <c r="I34" s="146" t="s">
        <v>482</v>
      </c>
      <c r="J34" s="13" t="s">
        <v>619</v>
      </c>
    </row>
    <row r="35" customFormat="false" ht="15.75" hidden="false" customHeight="true" outlineLevel="0" collapsed="false">
      <c r="A35" s="47" t="s">
        <v>219</v>
      </c>
      <c r="B35" s="47" t="s">
        <v>620</v>
      </c>
      <c r="C35" s="47" t="s">
        <v>621</v>
      </c>
      <c r="D35" s="47" t="s">
        <v>479</v>
      </c>
      <c r="E35" s="147" t="n">
        <v>43205</v>
      </c>
      <c r="F35" s="47" t="s">
        <v>622</v>
      </c>
      <c r="G35" s="142" t="s">
        <v>623</v>
      </c>
      <c r="H35" s="148" t="s">
        <v>624</v>
      </c>
      <c r="I35" s="147" t="s">
        <v>519</v>
      </c>
      <c r="J35" s="47" t="s">
        <v>625</v>
      </c>
    </row>
    <row r="36" customFormat="false" ht="15.75" hidden="false" customHeight="true" outlineLevel="0" collapsed="false">
      <c r="A36" s="47" t="s">
        <v>222</v>
      </c>
      <c r="B36" s="47" t="s">
        <v>626</v>
      </c>
      <c r="C36" s="47" t="s">
        <v>627</v>
      </c>
      <c r="D36" s="47" t="s">
        <v>479</v>
      </c>
      <c r="E36" s="147" t="n">
        <v>43123</v>
      </c>
      <c r="F36" s="47" t="s">
        <v>628</v>
      </c>
      <c r="G36" s="142" t="s">
        <v>629</v>
      </c>
      <c r="H36" s="148" t="s">
        <v>630</v>
      </c>
      <c r="I36" s="147" t="s">
        <v>519</v>
      </c>
      <c r="J36" s="47" t="s">
        <v>631</v>
      </c>
    </row>
    <row r="37" customFormat="false" ht="15.75" hidden="false" customHeight="true" outlineLevel="0" collapsed="false">
      <c r="A37" s="47" t="s">
        <v>230</v>
      </c>
      <c r="B37" s="47" t="s">
        <v>632</v>
      </c>
      <c r="C37" s="47" t="s">
        <v>633</v>
      </c>
      <c r="D37" s="47" t="s">
        <v>479</v>
      </c>
      <c r="E37" s="147" t="n">
        <v>43026</v>
      </c>
      <c r="F37" s="47" t="s">
        <v>634</v>
      </c>
      <c r="G37" s="142" t="s">
        <v>635</v>
      </c>
      <c r="H37" s="148" t="s">
        <v>636</v>
      </c>
      <c r="I37" s="147" t="s">
        <v>519</v>
      </c>
      <c r="J37" s="47" t="s">
        <v>637</v>
      </c>
    </row>
    <row r="38" s="13" customFormat="true" ht="15.75" hidden="false" customHeight="true" outlineLevel="0" collapsed="false">
      <c r="A38" s="13" t="s">
        <v>234</v>
      </c>
      <c r="B38" s="20" t="s">
        <v>491</v>
      </c>
      <c r="C38" s="49" t="s">
        <v>638</v>
      </c>
      <c r="D38" s="24" t="s">
        <v>479</v>
      </c>
      <c r="E38" s="99" t="n">
        <v>43212</v>
      </c>
      <c r="F38" s="20" t="s">
        <v>547</v>
      </c>
      <c r="G38" s="149" t="s">
        <v>548</v>
      </c>
      <c r="H38" s="116" t="s">
        <v>639</v>
      </c>
      <c r="I38" s="99" t="s">
        <v>519</v>
      </c>
      <c r="J38" s="13" t="s">
        <v>640</v>
      </c>
    </row>
    <row r="39" s="150" customFormat="true" ht="15.75" hidden="false" customHeight="true" outlineLevel="0" collapsed="false">
      <c r="A39" s="150" t="s">
        <v>238</v>
      </c>
      <c r="B39" s="150" t="s">
        <v>572</v>
      </c>
      <c r="C39" s="150" t="s">
        <v>641</v>
      </c>
      <c r="D39" s="150" t="s">
        <v>642</v>
      </c>
      <c r="E39" s="151" t="n">
        <v>43123</v>
      </c>
      <c r="F39" s="150" t="s">
        <v>643</v>
      </c>
      <c r="G39" s="152" t="s">
        <v>576</v>
      </c>
      <c r="H39" s="153" t="s">
        <v>644</v>
      </c>
      <c r="I39" s="151" t="s">
        <v>519</v>
      </c>
      <c r="J39" s="150" t="s">
        <v>645</v>
      </c>
    </row>
    <row r="40" s="13" customFormat="true" ht="15.75" hidden="false" customHeight="true" outlineLevel="0" collapsed="false">
      <c r="A40" s="154" t="s">
        <v>241</v>
      </c>
      <c r="B40" s="154" t="s">
        <v>646</v>
      </c>
      <c r="C40" s="154" t="s">
        <v>647</v>
      </c>
      <c r="D40" s="154" t="s">
        <v>479</v>
      </c>
      <c r="E40" s="155" t="n">
        <v>43214</v>
      </c>
      <c r="F40" s="154" t="s">
        <v>648</v>
      </c>
      <c r="G40" s="156" t="s">
        <v>649</v>
      </c>
      <c r="H40" s="157" t="s">
        <v>650</v>
      </c>
      <c r="I40" s="155" t="s">
        <v>519</v>
      </c>
      <c r="J40" s="47" t="s">
        <v>651</v>
      </c>
    </row>
    <row r="41" customFormat="false" ht="15.75" hidden="false" customHeight="true" outlineLevel="0" collapsed="false">
      <c r="A41" s="13" t="s">
        <v>245</v>
      </c>
      <c r="B41" s="13" t="s">
        <v>652</v>
      </c>
      <c r="C41" s="3" t="s">
        <v>653</v>
      </c>
      <c r="D41" s="13" t="s">
        <v>479</v>
      </c>
      <c r="E41" s="143" t="n">
        <v>43224</v>
      </c>
      <c r="F41" s="13" t="s">
        <v>654</v>
      </c>
      <c r="G41" s="115" t="s">
        <v>655</v>
      </c>
      <c r="H41" s="116" t="s">
        <v>656</v>
      </c>
      <c r="I41" s="143" t="s">
        <v>519</v>
      </c>
      <c r="J41" s="13" t="s">
        <v>657</v>
      </c>
    </row>
    <row r="42" s="61" customFormat="true" ht="15.75" hidden="false" customHeight="true" outlineLevel="0" collapsed="false">
      <c r="A42" s="158" t="s">
        <v>249</v>
      </c>
      <c r="B42" s="158" t="s">
        <v>658</v>
      </c>
      <c r="C42" s="158" t="s">
        <v>659</v>
      </c>
      <c r="D42" s="158" t="s">
        <v>479</v>
      </c>
      <c r="E42" s="159" t="n">
        <v>43081</v>
      </c>
      <c r="F42" s="158" t="s">
        <v>660</v>
      </c>
      <c r="G42" s="160" t="s">
        <v>661</v>
      </c>
      <c r="H42" s="161" t="s">
        <v>662</v>
      </c>
      <c r="I42" s="159" t="s">
        <v>519</v>
      </c>
      <c r="J42" s="158" t="s">
        <v>663</v>
      </c>
    </row>
    <row r="43" customFormat="false" ht="15.75" hidden="false" customHeight="true" outlineLevel="0" collapsed="false">
      <c r="A43" s="13" t="s">
        <v>253</v>
      </c>
      <c r="B43" s="13" t="s">
        <v>664</v>
      </c>
      <c r="C43" s="13" t="s">
        <v>665</v>
      </c>
      <c r="D43" s="13" t="s">
        <v>479</v>
      </c>
      <c r="E43" s="143" t="n">
        <v>43224</v>
      </c>
      <c r="F43" s="13" t="s">
        <v>666</v>
      </c>
      <c r="G43" s="115" t="s">
        <v>667</v>
      </c>
      <c r="H43" s="116" t="s">
        <v>668</v>
      </c>
      <c r="I43" s="143" t="s">
        <v>519</v>
      </c>
      <c r="J43" s="13" t="s">
        <v>669</v>
      </c>
    </row>
    <row r="44" customFormat="false" ht="15.75" hidden="false" customHeight="true" outlineLevel="0" collapsed="false">
      <c r="A44" s="13" t="s">
        <v>256</v>
      </c>
      <c r="B44" s="13" t="s">
        <v>670</v>
      </c>
      <c r="C44" s="13" t="s">
        <v>671</v>
      </c>
      <c r="D44" s="13" t="s">
        <v>479</v>
      </c>
      <c r="E44" s="143" t="n">
        <v>43235</v>
      </c>
      <c r="F44" s="13" t="s">
        <v>672</v>
      </c>
      <c r="G44" s="115" t="s">
        <v>673</v>
      </c>
      <c r="H44" s="116" t="s">
        <v>674</v>
      </c>
      <c r="I44" s="143" t="s">
        <v>519</v>
      </c>
      <c r="J44" s="13" t="s">
        <v>669</v>
      </c>
    </row>
    <row r="45" s="61" customFormat="true" ht="15.75" hidden="false" customHeight="true" outlineLevel="0" collapsed="false">
      <c r="A45" s="158" t="s">
        <v>259</v>
      </c>
      <c r="B45" s="33" t="s">
        <v>675</v>
      </c>
      <c r="C45" s="33" t="s">
        <v>676</v>
      </c>
      <c r="D45" s="158" t="s">
        <v>479</v>
      </c>
      <c r="E45" s="162" t="n">
        <v>43228</v>
      </c>
      <c r="F45" s="33" t="s">
        <v>677</v>
      </c>
      <c r="G45" s="163" t="s">
        <v>678</v>
      </c>
      <c r="H45" s="161" t="s">
        <v>679</v>
      </c>
      <c r="I45" s="159" t="s">
        <v>519</v>
      </c>
      <c r="J45" s="158" t="s">
        <v>669</v>
      </c>
    </row>
    <row r="46" customFormat="false" ht="15.75" hidden="false" customHeight="true" outlineLevel="0" collapsed="false">
      <c r="A46" s="13" t="s">
        <v>259</v>
      </c>
      <c r="B46" s="47" t="s">
        <v>646</v>
      </c>
      <c r="C46" s="47" t="s">
        <v>647</v>
      </c>
      <c r="D46" s="47" t="s">
        <v>479</v>
      </c>
      <c r="E46" s="147" t="n">
        <v>43214</v>
      </c>
      <c r="F46" s="47" t="s">
        <v>648</v>
      </c>
      <c r="G46" s="142" t="s">
        <v>649</v>
      </c>
      <c r="H46" s="164" t="s">
        <v>650</v>
      </c>
      <c r="I46" s="143" t="s">
        <v>680</v>
      </c>
      <c r="J46" s="13" t="s">
        <v>681</v>
      </c>
    </row>
    <row r="47" customFormat="false" ht="15.75" hidden="false" customHeight="true" outlineLevel="0" collapsed="false">
      <c r="A47" s="13" t="s">
        <v>263</v>
      </c>
      <c r="B47" s="20" t="s">
        <v>682</v>
      </c>
      <c r="C47" s="20" t="s">
        <v>683</v>
      </c>
      <c r="D47" s="13" t="s">
        <v>479</v>
      </c>
      <c r="E47" s="99" t="n">
        <v>43230</v>
      </c>
      <c r="F47" s="20" t="s">
        <v>684</v>
      </c>
      <c r="G47" s="149" t="s">
        <v>685</v>
      </c>
      <c r="H47" s="116" t="s">
        <v>686</v>
      </c>
      <c r="I47" s="143" t="s">
        <v>519</v>
      </c>
      <c r="J47" s="13" t="s">
        <v>687</v>
      </c>
    </row>
    <row r="48" customFormat="false" ht="15.75" hidden="false" customHeight="true" outlineLevel="0" collapsed="false">
      <c r="A48" s="13" t="s">
        <v>266</v>
      </c>
      <c r="B48" s="20" t="s">
        <v>688</v>
      </c>
      <c r="C48" s="20" t="s">
        <v>689</v>
      </c>
      <c r="D48" s="13" t="s">
        <v>479</v>
      </c>
      <c r="E48" s="99" t="n">
        <v>43229</v>
      </c>
      <c r="F48" s="20" t="s">
        <v>690</v>
      </c>
      <c r="G48" s="149" t="s">
        <v>691</v>
      </c>
      <c r="H48" s="116" t="s">
        <v>692</v>
      </c>
      <c r="I48" s="143" t="s">
        <v>519</v>
      </c>
      <c r="J48" s="13" t="s">
        <v>693</v>
      </c>
    </row>
    <row r="49" customFormat="false" ht="15.75" hidden="false" customHeight="true" outlineLevel="0" collapsed="false">
      <c r="A49" s="13" t="s">
        <v>269</v>
      </c>
      <c r="B49" s="20" t="s">
        <v>694</v>
      </c>
      <c r="C49" s="13" t="s">
        <v>695</v>
      </c>
      <c r="D49" s="13" t="s">
        <v>479</v>
      </c>
      <c r="E49" s="143" t="n">
        <v>43206</v>
      </c>
      <c r="F49" s="13" t="s">
        <v>696</v>
      </c>
      <c r="G49" s="115" t="s">
        <v>697</v>
      </c>
      <c r="H49" s="116" t="s">
        <v>698</v>
      </c>
      <c r="I49" s="143" t="s">
        <v>519</v>
      </c>
      <c r="J49" s="13" t="s">
        <v>693</v>
      </c>
    </row>
    <row r="50" customFormat="false" ht="15.75" hidden="false" customHeight="true" outlineLevel="0" collapsed="false">
      <c r="A50" s="13" t="s">
        <v>272</v>
      </c>
      <c r="B50" s="13" t="s">
        <v>699</v>
      </c>
      <c r="C50" s="13" t="s">
        <v>700</v>
      </c>
      <c r="D50" s="13" t="s">
        <v>701</v>
      </c>
      <c r="E50" s="143" t="n">
        <v>43210</v>
      </c>
      <c r="F50" s="13" t="s">
        <v>702</v>
      </c>
      <c r="G50" s="115" t="s">
        <v>703</v>
      </c>
      <c r="H50" s="116" t="s">
        <v>704</v>
      </c>
      <c r="I50" s="143" t="s">
        <v>519</v>
      </c>
      <c r="J50" s="13" t="s">
        <v>705</v>
      </c>
    </row>
    <row r="51" customFormat="false" ht="15.75" hidden="false" customHeight="true" outlineLevel="0" collapsed="false">
      <c r="A51" s="13" t="s">
        <v>275</v>
      </c>
      <c r="B51" s="13" t="s">
        <v>514</v>
      </c>
      <c r="C51" s="13" t="s">
        <v>706</v>
      </c>
      <c r="D51" s="13" t="s">
        <v>479</v>
      </c>
      <c r="E51" s="143" t="n">
        <v>43214</v>
      </c>
      <c r="F51" s="13" t="s">
        <v>707</v>
      </c>
      <c r="G51" s="115" t="s">
        <v>708</v>
      </c>
      <c r="H51" s="116" t="s">
        <v>709</v>
      </c>
      <c r="I51" s="143" t="s">
        <v>519</v>
      </c>
      <c r="J51" s="13" t="s">
        <v>710</v>
      </c>
    </row>
    <row r="52" customFormat="false" ht="15.75" hidden="false" customHeight="true" outlineLevel="0" collapsed="false">
      <c r="A52" s="13" t="s">
        <v>278</v>
      </c>
      <c r="B52" s="13" t="s">
        <v>711</v>
      </c>
      <c r="C52" s="13" t="s">
        <v>712</v>
      </c>
      <c r="D52" s="13" t="s">
        <v>479</v>
      </c>
      <c r="E52" s="143" t="n">
        <v>43201</v>
      </c>
      <c r="F52" s="13" t="s">
        <v>713</v>
      </c>
      <c r="G52" s="115" t="s">
        <v>714</v>
      </c>
      <c r="H52" s="116" t="s">
        <v>715</v>
      </c>
      <c r="I52" s="143" t="s">
        <v>519</v>
      </c>
      <c r="J52" s="13" t="s">
        <v>710</v>
      </c>
    </row>
    <row r="53" customFormat="false" ht="15.75" hidden="false" customHeight="false" outlineLevel="0" collapsed="false">
      <c r="A53" s="13" t="s">
        <v>281</v>
      </c>
      <c r="B53" s="165" t="s">
        <v>716</v>
      </c>
      <c r="C53" s="13" t="s">
        <v>717</v>
      </c>
      <c r="D53" s="13" t="s">
        <v>479</v>
      </c>
      <c r="E53" s="143" t="n">
        <v>43219</v>
      </c>
      <c r="F53" s="13" t="s">
        <v>718</v>
      </c>
      <c r="G53" s="115" t="s">
        <v>719</v>
      </c>
      <c r="H53" s="116" t="s">
        <v>720</v>
      </c>
      <c r="I53" s="143" t="s">
        <v>519</v>
      </c>
      <c r="J53" s="13" t="s">
        <v>710</v>
      </c>
    </row>
    <row r="54" customFormat="false" ht="15.75" hidden="false" customHeight="true" outlineLevel="0" collapsed="false">
      <c r="A54" s="13" t="s">
        <v>284</v>
      </c>
      <c r="B54" s="13" t="s">
        <v>721</v>
      </c>
      <c r="C54" s="13" t="s">
        <v>722</v>
      </c>
      <c r="D54" s="13" t="s">
        <v>479</v>
      </c>
      <c r="E54" s="143" t="n">
        <v>43231</v>
      </c>
      <c r="F54" s="13" t="s">
        <v>723</v>
      </c>
      <c r="G54" s="115" t="s">
        <v>724</v>
      </c>
      <c r="H54" s="116" t="s">
        <v>725</v>
      </c>
      <c r="I54" s="143" t="s">
        <v>519</v>
      </c>
      <c r="J54" s="13" t="s">
        <v>710</v>
      </c>
    </row>
    <row r="55" customFormat="false" ht="15.75" hidden="false" customHeight="true" outlineLevel="0" collapsed="false">
      <c r="A55" s="13" t="s">
        <v>287</v>
      </c>
      <c r="B55" s="13" t="s">
        <v>726</v>
      </c>
      <c r="C55" s="13" t="s">
        <v>727</v>
      </c>
      <c r="D55" s="13" t="s">
        <v>479</v>
      </c>
      <c r="E55" s="143" t="n">
        <v>43214</v>
      </c>
      <c r="F55" s="13" t="s">
        <v>728</v>
      </c>
      <c r="G55" s="115" t="s">
        <v>729</v>
      </c>
      <c r="H55" s="116" t="s">
        <v>730</v>
      </c>
      <c r="I55" s="143" t="s">
        <v>519</v>
      </c>
      <c r="J55" s="13" t="s">
        <v>731</v>
      </c>
    </row>
    <row r="56" customFormat="false" ht="15.75" hidden="false" customHeight="true" outlineLevel="0" collapsed="false">
      <c r="A56" s="47" t="s">
        <v>290</v>
      </c>
      <c r="B56" s="47" t="s">
        <v>732</v>
      </c>
      <c r="C56" s="47" t="s">
        <v>733</v>
      </c>
      <c r="D56" s="47" t="s">
        <v>479</v>
      </c>
      <c r="E56" s="147" t="n">
        <v>43209</v>
      </c>
      <c r="F56" s="47" t="s">
        <v>734</v>
      </c>
      <c r="G56" s="142" t="s">
        <v>735</v>
      </c>
      <c r="H56" s="166" t="s">
        <v>618</v>
      </c>
      <c r="I56" s="147" t="s">
        <v>519</v>
      </c>
      <c r="J56" s="47" t="s">
        <v>736</v>
      </c>
    </row>
    <row r="57" customFormat="false" ht="15.75" hidden="false" customHeight="true" outlineLevel="0" collapsed="false">
      <c r="A57" s="13" t="s">
        <v>293</v>
      </c>
      <c r="B57" s="13" t="s">
        <v>737</v>
      </c>
      <c r="C57" s="13" t="s">
        <v>295</v>
      </c>
      <c r="D57" s="13" t="s">
        <v>479</v>
      </c>
      <c r="E57" s="143" t="n">
        <v>43209</v>
      </c>
      <c r="F57" s="13" t="s">
        <v>738</v>
      </c>
      <c r="G57" s="123" t="s">
        <v>739</v>
      </c>
      <c r="H57" s="116" t="s">
        <v>740</v>
      </c>
      <c r="I57" s="143" t="s">
        <v>519</v>
      </c>
      <c r="J57" s="13" t="s">
        <v>741</v>
      </c>
    </row>
    <row r="58" customFormat="false" ht="15.75" hidden="false" customHeight="true" outlineLevel="0" collapsed="false">
      <c r="A58" s="13" t="s">
        <v>296</v>
      </c>
      <c r="B58" s="13" t="s">
        <v>742</v>
      </c>
      <c r="C58" s="13" t="s">
        <v>298</v>
      </c>
      <c r="D58" s="13" t="s">
        <v>743</v>
      </c>
      <c r="E58" s="143" t="n">
        <v>43119</v>
      </c>
      <c r="F58" s="13" t="s">
        <v>744</v>
      </c>
      <c r="G58" s="115" t="s">
        <v>745</v>
      </c>
      <c r="H58" s="116" t="s">
        <v>746</v>
      </c>
      <c r="I58" s="143" t="s">
        <v>519</v>
      </c>
      <c r="J58" s="13" t="s">
        <v>747</v>
      </c>
    </row>
    <row r="59" customFormat="false" ht="15.75" hidden="false" customHeight="true" outlineLevel="0" collapsed="false">
      <c r="A59" s="13" t="s">
        <v>299</v>
      </c>
      <c r="B59" s="13" t="s">
        <v>748</v>
      </c>
      <c r="C59" s="13" t="s">
        <v>749</v>
      </c>
      <c r="D59" s="13" t="s">
        <v>479</v>
      </c>
      <c r="E59" s="143" t="n">
        <v>43203</v>
      </c>
      <c r="F59" s="13" t="s">
        <v>750</v>
      </c>
      <c r="G59" s="115" t="s">
        <v>751</v>
      </c>
      <c r="H59" s="116" t="s">
        <v>752</v>
      </c>
      <c r="I59" s="143" t="s">
        <v>519</v>
      </c>
      <c r="J59" s="13" t="s">
        <v>753</v>
      </c>
    </row>
    <row r="60" customFormat="false" ht="15.75" hidden="false" customHeight="true" outlineLevel="0" collapsed="false">
      <c r="A60" s="13" t="s">
        <v>302</v>
      </c>
      <c r="B60" s="13" t="s">
        <v>754</v>
      </c>
      <c r="C60" s="13" t="s">
        <v>755</v>
      </c>
      <c r="D60" s="13" t="s">
        <v>756</v>
      </c>
      <c r="E60" s="143" t="n">
        <v>43219</v>
      </c>
      <c r="F60" s="13" t="s">
        <v>757</v>
      </c>
      <c r="G60" s="115" t="s">
        <v>758</v>
      </c>
      <c r="H60" s="116" t="s">
        <v>759</v>
      </c>
      <c r="I60" s="146" t="s">
        <v>482</v>
      </c>
      <c r="J60" s="13" t="s">
        <v>760</v>
      </c>
    </row>
    <row r="61" customFormat="false" ht="15.75" hidden="false" customHeight="true" outlineLevel="0" collapsed="false">
      <c r="A61" s="13" t="s">
        <v>305</v>
      </c>
      <c r="B61" s="13" t="s">
        <v>761</v>
      </c>
      <c r="C61" s="13" t="s">
        <v>762</v>
      </c>
      <c r="D61" s="13" t="s">
        <v>479</v>
      </c>
      <c r="E61" s="143" t="n">
        <v>43231</v>
      </c>
      <c r="F61" s="13" t="s">
        <v>763</v>
      </c>
      <c r="G61" s="115" t="s">
        <v>764</v>
      </c>
      <c r="H61" s="116" t="s">
        <v>765</v>
      </c>
      <c r="I61" s="143" t="s">
        <v>519</v>
      </c>
      <c r="J61" s="13" t="s">
        <v>766</v>
      </c>
    </row>
    <row r="62" customFormat="false" ht="15.75" hidden="false" customHeight="true" outlineLevel="0" collapsed="false">
      <c r="A62" s="13" t="s">
        <v>308</v>
      </c>
      <c r="B62" s="13" t="s">
        <v>767</v>
      </c>
      <c r="C62" s="13" t="s">
        <v>768</v>
      </c>
      <c r="D62" s="13" t="s">
        <v>479</v>
      </c>
      <c r="E62" s="143" t="n">
        <v>43207</v>
      </c>
      <c r="F62" s="13" t="s">
        <v>769</v>
      </c>
      <c r="G62" s="115" t="s">
        <v>770</v>
      </c>
      <c r="H62" s="116" t="s">
        <v>771</v>
      </c>
      <c r="I62" s="143" t="s">
        <v>519</v>
      </c>
      <c r="J62" s="13" t="s">
        <v>772</v>
      </c>
    </row>
    <row r="63" customFormat="false" ht="15.75" hidden="false" customHeight="true" outlineLevel="0" collapsed="false">
      <c r="A63" s="13" t="s">
        <v>311</v>
      </c>
      <c r="B63" s="13" t="s">
        <v>773</v>
      </c>
      <c r="C63" s="13" t="s">
        <v>774</v>
      </c>
      <c r="D63" s="13" t="s">
        <v>479</v>
      </c>
      <c r="E63" s="143" t="n">
        <v>43204</v>
      </c>
      <c r="F63" s="13" t="s">
        <v>775</v>
      </c>
      <c r="G63" s="115" t="s">
        <v>776</v>
      </c>
      <c r="H63" s="167"/>
      <c r="I63" s="143" t="s">
        <v>519</v>
      </c>
      <c r="J63" s="13" t="s">
        <v>777</v>
      </c>
    </row>
    <row r="64" customFormat="false" ht="15.75" hidden="false" customHeight="true" outlineLevel="0" collapsed="false">
      <c r="A64" s="13" t="s">
        <v>314</v>
      </c>
      <c r="B64" s="13" t="s">
        <v>767</v>
      </c>
      <c r="C64" s="13" t="s">
        <v>778</v>
      </c>
      <c r="D64" s="13" t="s">
        <v>779</v>
      </c>
      <c r="E64" s="143" t="n">
        <v>43207</v>
      </c>
      <c r="F64" s="13" t="s">
        <v>780</v>
      </c>
      <c r="G64" s="115" t="s">
        <v>781</v>
      </c>
      <c r="H64" s="116" t="s">
        <v>782</v>
      </c>
      <c r="I64" s="143" t="s">
        <v>519</v>
      </c>
      <c r="J64" s="13" t="s">
        <v>783</v>
      </c>
    </row>
    <row r="65" customFormat="false" ht="15.75" hidden="false" customHeight="true" outlineLevel="0" collapsed="false">
      <c r="A65" s="13" t="s">
        <v>317</v>
      </c>
      <c r="B65" s="13" t="s">
        <v>477</v>
      </c>
      <c r="C65" s="13" t="s">
        <v>784</v>
      </c>
      <c r="D65" s="13" t="s">
        <v>479</v>
      </c>
      <c r="E65" s="143" t="n">
        <v>43204</v>
      </c>
      <c r="F65" s="13" t="s">
        <v>785</v>
      </c>
      <c r="G65" s="115" t="s">
        <v>786</v>
      </c>
      <c r="H65" s="116" t="s">
        <v>787</v>
      </c>
      <c r="I65" s="143" t="s">
        <v>519</v>
      </c>
      <c r="J65" s="13" t="s">
        <v>788</v>
      </c>
    </row>
    <row r="66" customFormat="false" ht="15.75" hidden="false" customHeight="true" outlineLevel="0" collapsed="false">
      <c r="A66" s="13" t="s">
        <v>320</v>
      </c>
      <c r="B66" s="13" t="s">
        <v>789</v>
      </c>
      <c r="C66" s="13" t="s">
        <v>790</v>
      </c>
      <c r="D66" s="13" t="s">
        <v>479</v>
      </c>
      <c r="E66" s="143" t="n">
        <v>43207</v>
      </c>
      <c r="F66" s="13" t="s">
        <v>791</v>
      </c>
      <c r="G66" s="115" t="s">
        <v>792</v>
      </c>
      <c r="H66" s="116" t="s">
        <v>793</v>
      </c>
      <c r="I66" s="143" t="s">
        <v>519</v>
      </c>
      <c r="J66" s="13" t="s">
        <v>788</v>
      </c>
    </row>
    <row r="67" customFormat="false" ht="15.75" hidden="false" customHeight="true" outlineLevel="0" collapsed="false">
      <c r="A67" s="47" t="s">
        <v>323</v>
      </c>
      <c r="B67" s="47" t="s">
        <v>794</v>
      </c>
      <c r="C67" s="47" t="s">
        <v>795</v>
      </c>
      <c r="D67" s="47" t="s">
        <v>796</v>
      </c>
      <c r="E67" s="147" t="n">
        <v>43119</v>
      </c>
      <c r="F67" s="47" t="s">
        <v>744</v>
      </c>
      <c r="G67" s="142" t="s">
        <v>745</v>
      </c>
      <c r="H67" s="148" t="s">
        <v>746</v>
      </c>
      <c r="I67" s="147" t="s">
        <v>519</v>
      </c>
      <c r="J67" s="47" t="s">
        <v>797</v>
      </c>
    </row>
    <row r="68" customFormat="false" ht="15.75" hidden="false" customHeight="true" outlineLevel="0" collapsed="false">
      <c r="A68" s="13" t="s">
        <v>326</v>
      </c>
      <c r="B68" s="13" t="s">
        <v>798</v>
      </c>
      <c r="C68" s="13" t="s">
        <v>799</v>
      </c>
      <c r="D68" s="13" t="s">
        <v>800</v>
      </c>
      <c r="E68" s="143" t="n">
        <v>43223</v>
      </c>
      <c r="F68" s="13" t="s">
        <v>801</v>
      </c>
      <c r="G68" s="115" t="s">
        <v>802</v>
      </c>
      <c r="H68" s="116" t="s">
        <v>803</v>
      </c>
      <c r="I68" s="143" t="s">
        <v>519</v>
      </c>
      <c r="J68" s="13" t="s">
        <v>804</v>
      </c>
    </row>
    <row r="69" customFormat="false" ht="15.75" hidden="false" customHeight="true" outlineLevel="0" collapsed="false">
      <c r="A69" s="13" t="s">
        <v>329</v>
      </c>
      <c r="B69" s="13" t="s">
        <v>632</v>
      </c>
      <c r="C69" s="13" t="s">
        <v>805</v>
      </c>
      <c r="D69" s="13" t="s">
        <v>479</v>
      </c>
      <c r="E69" s="143" t="n">
        <v>43206</v>
      </c>
      <c r="F69" s="13" t="s">
        <v>806</v>
      </c>
      <c r="G69" s="115" t="s">
        <v>807</v>
      </c>
      <c r="H69" s="73" t="s">
        <v>808</v>
      </c>
      <c r="I69" s="143" t="s">
        <v>519</v>
      </c>
      <c r="J69" s="13" t="s">
        <v>809</v>
      </c>
    </row>
    <row r="70" customFormat="false" ht="15.75" hidden="false" customHeight="true" outlineLevel="0" collapsed="false">
      <c r="A70" s="13" t="s">
        <v>332</v>
      </c>
      <c r="B70" s="13" t="s">
        <v>558</v>
      </c>
      <c r="C70" s="13" t="s">
        <v>810</v>
      </c>
      <c r="D70" s="13" t="s">
        <v>479</v>
      </c>
      <c r="E70" s="143" t="n">
        <v>43222</v>
      </c>
      <c r="F70" s="13" t="s">
        <v>811</v>
      </c>
      <c r="G70" s="115" t="s">
        <v>812</v>
      </c>
      <c r="H70" s="73" t="s">
        <v>813</v>
      </c>
      <c r="I70" s="143" t="s">
        <v>680</v>
      </c>
      <c r="J70" s="13" t="s">
        <v>814</v>
      </c>
    </row>
    <row r="71" customFormat="false" ht="15.75" hidden="false" customHeight="true" outlineLevel="0" collapsed="false">
      <c r="A71" s="13" t="s">
        <v>335</v>
      </c>
      <c r="B71" s="13" t="s">
        <v>652</v>
      </c>
      <c r="C71" s="13" t="s">
        <v>815</v>
      </c>
      <c r="D71" s="13" t="s">
        <v>479</v>
      </c>
      <c r="E71" s="143" t="n">
        <v>43224</v>
      </c>
      <c r="F71" s="13" t="s">
        <v>816</v>
      </c>
      <c r="G71" s="115" t="s">
        <v>817</v>
      </c>
      <c r="H71" s="168" t="s">
        <v>818</v>
      </c>
      <c r="I71" s="143" t="s">
        <v>680</v>
      </c>
      <c r="J71" s="13" t="s">
        <v>819</v>
      </c>
    </row>
    <row r="72" customFormat="false" ht="15.75" hidden="false" customHeight="true" outlineLevel="0" collapsed="false">
      <c r="A72" s="13" t="s">
        <v>338</v>
      </c>
      <c r="B72" s="47" t="s">
        <v>652</v>
      </c>
      <c r="C72" s="47" t="s">
        <v>820</v>
      </c>
      <c r="D72" s="47" t="s">
        <v>479</v>
      </c>
      <c r="E72" s="147" t="n">
        <v>43211</v>
      </c>
      <c r="F72" s="47" t="s">
        <v>821</v>
      </c>
      <c r="G72" s="142" t="s">
        <v>822</v>
      </c>
      <c r="H72" s="169"/>
      <c r="I72" s="147" t="s">
        <v>680</v>
      </c>
      <c r="J72" s="13" t="s">
        <v>819</v>
      </c>
    </row>
    <row r="73" customFormat="false" ht="15.75" hidden="false" customHeight="true" outlineLevel="0" collapsed="false">
      <c r="A73" s="170" t="s">
        <v>341</v>
      </c>
      <c r="B73" s="13" t="s">
        <v>688</v>
      </c>
      <c r="C73" s="13" t="s">
        <v>823</v>
      </c>
      <c r="D73" s="13" t="s">
        <v>479</v>
      </c>
      <c r="E73" s="143" t="n">
        <v>43229</v>
      </c>
      <c r="F73" s="13" t="s">
        <v>824</v>
      </c>
      <c r="G73" s="115" t="s">
        <v>825</v>
      </c>
      <c r="H73" s="171"/>
      <c r="I73" s="143" t="s">
        <v>680</v>
      </c>
      <c r="J73" s="13" t="s">
        <v>819</v>
      </c>
    </row>
    <row r="74" customFormat="false" ht="15.75" hidden="false" customHeight="true" outlineLevel="0" collapsed="false">
      <c r="A74" s="170" t="s">
        <v>344</v>
      </c>
      <c r="B74" s="13" t="s">
        <v>658</v>
      </c>
      <c r="C74" s="13" t="s">
        <v>826</v>
      </c>
      <c r="D74" s="13" t="s">
        <v>479</v>
      </c>
      <c r="E74" s="143" t="n">
        <v>43081</v>
      </c>
      <c r="F74" s="13" t="s">
        <v>660</v>
      </c>
      <c r="G74" s="115" t="s">
        <v>827</v>
      </c>
      <c r="H74" s="116" t="s">
        <v>662</v>
      </c>
      <c r="I74" s="143" t="s">
        <v>680</v>
      </c>
      <c r="J74" s="13" t="s">
        <v>828</v>
      </c>
    </row>
    <row r="75" customFormat="false" ht="15.75" hidden="false" customHeight="true" outlineLevel="0" collapsed="false">
      <c r="A75" s="170" t="s">
        <v>347</v>
      </c>
      <c r="B75" s="13" t="s">
        <v>682</v>
      </c>
      <c r="C75" s="13" t="s">
        <v>829</v>
      </c>
      <c r="D75" s="13" t="s">
        <v>830</v>
      </c>
      <c r="E75" s="143" t="n">
        <v>43230</v>
      </c>
      <c r="F75" s="13" t="s">
        <v>831</v>
      </c>
      <c r="G75" s="123" t="s">
        <v>832</v>
      </c>
      <c r="H75" s="116" t="s">
        <v>833</v>
      </c>
      <c r="I75" s="143" t="s">
        <v>680</v>
      </c>
      <c r="J75" s="13" t="s">
        <v>834</v>
      </c>
    </row>
    <row r="76" customFormat="false" ht="15.75" hidden="false" customHeight="true" outlineLevel="0" collapsed="false">
      <c r="A76" s="172" t="s">
        <v>350</v>
      </c>
      <c r="B76" s="47" t="s">
        <v>835</v>
      </c>
      <c r="C76" s="47" t="s">
        <v>836</v>
      </c>
      <c r="D76" s="47" t="s">
        <v>779</v>
      </c>
      <c r="E76" s="147" t="n">
        <v>43215</v>
      </c>
      <c r="F76" s="47" t="s">
        <v>837</v>
      </c>
      <c r="G76" s="142" t="s">
        <v>838</v>
      </c>
      <c r="H76" s="148" t="s">
        <v>839</v>
      </c>
      <c r="I76" s="147" t="s">
        <v>680</v>
      </c>
      <c r="J76" s="47" t="s">
        <v>840</v>
      </c>
    </row>
    <row r="77" customFormat="false" ht="15.75" hidden="false" customHeight="true" outlineLevel="0" collapsed="false">
      <c r="A77" s="13" t="s">
        <v>353</v>
      </c>
      <c r="B77" s="13"/>
      <c r="C77" s="13"/>
      <c r="D77" s="13"/>
      <c r="E77" s="143"/>
      <c r="F77" s="13"/>
      <c r="G77" s="13"/>
      <c r="H77" s="116"/>
      <c r="I77" s="143"/>
      <c r="J77" s="13"/>
    </row>
    <row r="78" customFormat="false" ht="15.75" hidden="false" customHeight="true" outlineLevel="0" collapsed="false">
      <c r="A78" s="13" t="s">
        <v>356</v>
      </c>
      <c r="B78" s="13"/>
      <c r="C78" s="13"/>
      <c r="D78" s="13"/>
      <c r="E78" s="143"/>
      <c r="F78" s="13"/>
      <c r="G78" s="13"/>
      <c r="H78" s="116"/>
      <c r="I78" s="143"/>
      <c r="J78" s="13"/>
    </row>
    <row r="79" customFormat="false" ht="15.75" hidden="false" customHeight="true" outlineLevel="0" collapsed="false">
      <c r="A79" s="13" t="s">
        <v>358</v>
      </c>
      <c r="B79" s="13"/>
      <c r="C79" s="13"/>
      <c r="D79" s="13"/>
      <c r="E79" s="143"/>
      <c r="F79" s="13"/>
      <c r="G79" s="13"/>
      <c r="H79" s="116"/>
      <c r="I79" s="143"/>
      <c r="J79" s="13"/>
    </row>
    <row r="80" customFormat="false" ht="15.75" hidden="false" customHeight="true" outlineLevel="0" collapsed="false">
      <c r="A80" s="13" t="s">
        <v>361</v>
      </c>
      <c r="B80" s="13"/>
      <c r="C80" s="13"/>
      <c r="D80" s="13"/>
      <c r="E80" s="143"/>
      <c r="F80" s="13"/>
      <c r="G80" s="13"/>
      <c r="H80" s="116"/>
      <c r="I80" s="143"/>
      <c r="J80" s="13"/>
    </row>
    <row r="81" customFormat="false" ht="15.75" hidden="false" customHeight="true" outlineLevel="0" collapsed="false">
      <c r="A81" s="13" t="s">
        <v>364</v>
      </c>
      <c r="B81" s="13"/>
      <c r="C81" s="13"/>
      <c r="D81" s="13"/>
      <c r="E81" s="143"/>
      <c r="F81" s="13"/>
      <c r="G81" s="13"/>
      <c r="H81" s="116"/>
      <c r="I81" s="143"/>
      <c r="J81" s="13"/>
    </row>
    <row r="82" customFormat="false" ht="15.75" hidden="false" customHeight="true" outlineLevel="0" collapsed="false">
      <c r="A82" s="13" t="s">
        <v>367</v>
      </c>
      <c r="B82" s="13"/>
      <c r="C82" s="13"/>
      <c r="D82" s="13"/>
      <c r="E82" s="143"/>
      <c r="F82" s="13"/>
      <c r="G82" s="13"/>
      <c r="H82" s="116"/>
      <c r="I82" s="143"/>
      <c r="J82" s="13"/>
    </row>
    <row r="83" customFormat="false" ht="15.75" hidden="false" customHeight="true" outlineLevel="0" collapsed="false">
      <c r="A83" s="13" t="s">
        <v>370</v>
      </c>
      <c r="B83" s="13"/>
      <c r="C83" s="13"/>
      <c r="D83" s="13"/>
      <c r="E83" s="143"/>
      <c r="F83" s="13"/>
      <c r="G83" s="13"/>
      <c r="H83" s="116"/>
      <c r="I83" s="143"/>
      <c r="J83" s="13"/>
    </row>
    <row r="84" customFormat="false" ht="15.75" hidden="false" customHeight="true" outlineLevel="0" collapsed="false">
      <c r="A84" s="13" t="s">
        <v>373</v>
      </c>
      <c r="B84" s="13"/>
      <c r="C84" s="13"/>
      <c r="D84" s="13"/>
      <c r="E84" s="143"/>
      <c r="F84" s="13"/>
      <c r="G84" s="13"/>
      <c r="H84" s="116"/>
      <c r="I84" s="143"/>
      <c r="J84" s="13"/>
    </row>
    <row r="85" customFormat="false" ht="15.75" hidden="false" customHeight="true" outlineLevel="0" collapsed="false">
      <c r="A85" s="13" t="s">
        <v>376</v>
      </c>
      <c r="B85" s="13"/>
      <c r="C85" s="13"/>
      <c r="D85" s="13"/>
      <c r="E85" s="143"/>
      <c r="F85" s="13"/>
      <c r="G85" s="13"/>
      <c r="H85" s="116"/>
      <c r="I85" s="143"/>
      <c r="J85" s="13"/>
    </row>
    <row r="86" customFormat="false" ht="15.75" hidden="false" customHeight="true" outlineLevel="0" collapsed="false">
      <c r="A86" s="13" t="s">
        <v>379</v>
      </c>
      <c r="B86" s="13"/>
      <c r="C86" s="13"/>
      <c r="D86" s="13"/>
      <c r="E86" s="143"/>
      <c r="F86" s="13"/>
      <c r="G86" s="13"/>
      <c r="H86" s="116"/>
      <c r="I86" s="143"/>
      <c r="J86" s="13"/>
    </row>
    <row r="87" customFormat="false" ht="15.75" hidden="false" customHeight="true" outlineLevel="0" collapsed="false">
      <c r="A87" s="13" t="s">
        <v>382</v>
      </c>
      <c r="B87" s="13"/>
      <c r="C87" s="13"/>
      <c r="D87" s="13"/>
      <c r="E87" s="143"/>
      <c r="F87" s="13"/>
      <c r="G87" s="13"/>
      <c r="H87" s="116"/>
      <c r="I87" s="143"/>
      <c r="J87" s="13"/>
    </row>
    <row r="88" customFormat="false" ht="15.75" hidden="false" customHeight="true" outlineLevel="0" collapsed="false">
      <c r="A88" s="13" t="s">
        <v>385</v>
      </c>
      <c r="B88" s="13"/>
      <c r="C88" s="13"/>
      <c r="D88" s="13"/>
      <c r="E88" s="143"/>
      <c r="F88" s="13"/>
      <c r="G88" s="13"/>
      <c r="H88" s="116"/>
      <c r="I88" s="143"/>
      <c r="J88" s="13"/>
    </row>
    <row r="89" customFormat="false" ht="15.75" hidden="false" customHeight="true" outlineLevel="0" collapsed="false">
      <c r="A89" s="13" t="s">
        <v>388</v>
      </c>
      <c r="B89" s="13"/>
      <c r="C89" s="13"/>
      <c r="D89" s="13"/>
      <c r="E89" s="143"/>
      <c r="F89" s="13"/>
      <c r="G89" s="13"/>
      <c r="H89" s="116"/>
      <c r="I89" s="143"/>
      <c r="J89" s="13"/>
    </row>
    <row r="90" customFormat="false" ht="15.75" hidden="false" customHeight="true" outlineLevel="0" collapsed="false">
      <c r="A90" s="13" t="s">
        <v>391</v>
      </c>
      <c r="B90" s="13"/>
      <c r="C90" s="13"/>
      <c r="D90" s="13"/>
      <c r="E90" s="143"/>
      <c r="F90" s="13"/>
      <c r="G90" s="13"/>
      <c r="H90" s="116"/>
      <c r="I90" s="143"/>
      <c r="J90" s="13"/>
    </row>
    <row r="91" customFormat="false" ht="15.75" hidden="false" customHeight="true" outlineLevel="0" collapsed="false">
      <c r="A91" s="13" t="s">
        <v>394</v>
      </c>
      <c r="B91" s="13"/>
      <c r="C91" s="13"/>
      <c r="D91" s="13"/>
      <c r="E91" s="143"/>
      <c r="F91" s="13"/>
      <c r="G91" s="13"/>
      <c r="H91" s="116"/>
      <c r="I91" s="143"/>
      <c r="J91" s="13"/>
    </row>
    <row r="92" customFormat="false" ht="15.75" hidden="false" customHeight="true" outlineLevel="0" collapsed="false">
      <c r="A92" s="13" t="s">
        <v>396</v>
      </c>
      <c r="B92" s="13"/>
      <c r="C92" s="13"/>
      <c r="D92" s="13"/>
      <c r="E92" s="143"/>
      <c r="F92" s="13"/>
      <c r="G92" s="13"/>
      <c r="H92" s="116"/>
      <c r="I92" s="143"/>
      <c r="J92" s="13"/>
    </row>
    <row r="93" customFormat="false" ht="15.75" hidden="false" customHeight="true" outlineLevel="0" collapsed="false">
      <c r="A93" s="13" t="s">
        <v>398</v>
      </c>
      <c r="B93" s="13"/>
      <c r="C93" s="13"/>
      <c r="D93" s="13"/>
      <c r="E93" s="143"/>
      <c r="F93" s="13"/>
      <c r="G93" s="13"/>
      <c r="H93" s="116"/>
      <c r="I93" s="143"/>
      <c r="J93" s="13"/>
    </row>
    <row r="94" customFormat="false" ht="15.75" hidden="false" customHeight="true" outlineLevel="0" collapsed="false">
      <c r="A94" s="13" t="s">
        <v>399</v>
      </c>
      <c r="B94" s="13"/>
      <c r="C94" s="13"/>
      <c r="D94" s="13"/>
      <c r="E94" s="143"/>
      <c r="F94" s="13"/>
      <c r="G94" s="13"/>
      <c r="H94" s="116"/>
      <c r="I94" s="143"/>
      <c r="J94" s="13"/>
    </row>
    <row r="95" customFormat="false" ht="15.75" hidden="false" customHeight="true" outlineLevel="0" collapsed="false">
      <c r="A95" s="13" t="s">
        <v>400</v>
      </c>
      <c r="B95" s="13"/>
      <c r="C95" s="13"/>
      <c r="D95" s="13"/>
      <c r="E95" s="143"/>
      <c r="F95" s="13"/>
      <c r="G95" s="13"/>
      <c r="H95" s="116"/>
      <c r="I95" s="143"/>
      <c r="J95" s="13"/>
    </row>
    <row r="96" customFormat="false" ht="15.75" hidden="false" customHeight="true" outlineLevel="0" collapsed="false">
      <c r="A96" s="13" t="s">
        <v>401</v>
      </c>
      <c r="B96" s="13"/>
      <c r="C96" s="13"/>
      <c r="D96" s="13"/>
      <c r="E96" s="143"/>
      <c r="F96" s="13"/>
      <c r="G96" s="13"/>
      <c r="H96" s="116"/>
      <c r="I96" s="143"/>
      <c r="J96" s="13"/>
    </row>
    <row r="97" customFormat="false" ht="15.75" hidden="false" customHeight="true" outlineLevel="0" collapsed="false">
      <c r="A97" s="13" t="s">
        <v>402</v>
      </c>
      <c r="B97" s="13"/>
      <c r="C97" s="13"/>
      <c r="D97" s="13"/>
      <c r="E97" s="143"/>
      <c r="F97" s="13"/>
      <c r="G97" s="13"/>
      <c r="H97" s="116"/>
      <c r="I97" s="143"/>
      <c r="J97" s="13"/>
    </row>
    <row r="98" customFormat="false" ht="15.75" hidden="false" customHeight="true" outlineLevel="0" collapsed="false">
      <c r="A98" s="13" t="s">
        <v>403</v>
      </c>
      <c r="B98" s="13"/>
      <c r="C98" s="13"/>
      <c r="D98" s="13"/>
      <c r="E98" s="143"/>
      <c r="F98" s="13"/>
      <c r="G98" s="13"/>
      <c r="H98" s="116"/>
      <c r="I98" s="143"/>
      <c r="J98" s="13"/>
    </row>
    <row r="99" customFormat="false" ht="15.75" hidden="false" customHeight="true" outlineLevel="0" collapsed="false">
      <c r="A99" s="13" t="s">
        <v>404</v>
      </c>
      <c r="B99" s="13"/>
      <c r="C99" s="13"/>
      <c r="D99" s="13"/>
      <c r="E99" s="143"/>
      <c r="F99" s="13"/>
      <c r="G99" s="13"/>
      <c r="H99" s="116"/>
      <c r="I99" s="143"/>
      <c r="J99" s="13"/>
    </row>
    <row r="100" customFormat="false" ht="15.75" hidden="false" customHeight="true" outlineLevel="0" collapsed="false">
      <c r="A100" s="13" t="s">
        <v>405</v>
      </c>
      <c r="B100" s="13"/>
      <c r="C100" s="13"/>
      <c r="D100" s="13"/>
      <c r="E100" s="143"/>
      <c r="F100" s="13"/>
      <c r="G100" s="13"/>
      <c r="H100" s="116"/>
      <c r="I100" s="143"/>
      <c r="J100" s="13"/>
    </row>
    <row r="101" customFormat="false" ht="15.75" hidden="false" customHeight="true" outlineLevel="0" collapsed="false">
      <c r="A101" s="13" t="s">
        <v>406</v>
      </c>
      <c r="B101" s="13"/>
      <c r="C101" s="13"/>
      <c r="D101" s="13"/>
      <c r="E101" s="143"/>
      <c r="F101" s="13"/>
      <c r="G101" s="13"/>
      <c r="H101" s="116"/>
      <c r="I101" s="143"/>
      <c r="J101" s="13"/>
    </row>
    <row r="102" customFormat="false" ht="15.75" hidden="false" customHeight="true" outlineLevel="0" collapsed="false">
      <c r="A102" s="13" t="s">
        <v>407</v>
      </c>
      <c r="B102" s="13"/>
      <c r="C102" s="13"/>
      <c r="D102" s="13"/>
      <c r="E102" s="143"/>
      <c r="F102" s="13"/>
      <c r="G102" s="13"/>
      <c r="H102" s="116"/>
      <c r="I102" s="143"/>
      <c r="J102" s="13"/>
    </row>
    <row r="103" customFormat="false" ht="15.75" hidden="false" customHeight="true" outlineLevel="0" collapsed="false">
      <c r="A103" s="13" t="s">
        <v>408</v>
      </c>
      <c r="B103" s="13"/>
      <c r="C103" s="13"/>
      <c r="D103" s="13"/>
      <c r="E103" s="143"/>
      <c r="F103" s="13"/>
      <c r="G103" s="13"/>
      <c r="H103" s="116"/>
      <c r="I103" s="143"/>
      <c r="J103" s="13"/>
    </row>
    <row r="104" customFormat="false" ht="15.75" hidden="false" customHeight="true" outlineLevel="0" collapsed="false">
      <c r="A104" s="13" t="s">
        <v>409</v>
      </c>
      <c r="B104" s="13"/>
      <c r="C104" s="13"/>
      <c r="D104" s="13"/>
      <c r="E104" s="143"/>
      <c r="F104" s="13"/>
      <c r="G104" s="13"/>
      <c r="H104" s="116"/>
      <c r="I104" s="143"/>
      <c r="J104" s="13"/>
    </row>
    <row r="105" customFormat="false" ht="15.75" hidden="false" customHeight="true" outlineLevel="0" collapsed="false">
      <c r="A105" s="13" t="s">
        <v>410</v>
      </c>
      <c r="B105" s="13"/>
      <c r="C105" s="13"/>
      <c r="D105" s="13"/>
      <c r="E105" s="143"/>
      <c r="F105" s="13"/>
      <c r="G105" s="13"/>
      <c r="H105" s="116"/>
      <c r="I105" s="143"/>
      <c r="J105" s="13"/>
    </row>
  </sheetData>
  <hyperlinks>
    <hyperlink ref="G2" r:id="rId1" display="gclarke@fpconservatory.org"/>
    <hyperlink ref="G3" r:id="rId2" display="megantheresefiscus@gmail.com"/>
    <hyperlink ref="G4" r:id="rId3" display="akistler@columbuslibrary.org"/>
    <hyperlink ref="G5" r:id="rId4" display="kristiansims42@gmail.com"/>
    <hyperlink ref="G6" r:id="rId5" display="benlkeith@gmail.com"/>
    <hyperlink ref="G8" r:id="rId6" display="katharine6547@gmail.com"/>
    <hyperlink ref="G9" r:id="rId7" display="akistler@columbuslibrary.org"/>
    <hyperlink ref="G11" r:id="rId8" display="rjoehlin@alterrare.com"/>
    <hyperlink ref="G12" r:id="rId9" display="gclarke@fpconservatory.org"/>
    <hyperlink ref="G13" r:id="rId10" display="akistler@columbuslibrary.org"/>
    <hyperlink ref="G14" r:id="rId11" display="rjoehlin@alterrare.com"/>
    <hyperlink ref="G15" r:id="rId12" display="eellman@bexley.org "/>
    <hyperlink ref="G16" r:id="rId13" display="rjoehlin@alterrare.com"/>
    <hyperlink ref="G18" r:id="rId14" display="aaichele@cosi.org"/>
    <hyperlink ref="G19" r:id="rId15" display="aleber@gmail.com"/>
    <hyperlink ref="G20" r:id="rId16" display="jlaughbaum7833@columbus.k12.oh.us"/>
    <hyperlink ref="G22" r:id="rId17" display="info@franklintoncycleworks.org"/>
    <hyperlink ref="G24" r:id="rId18" display="boylanjasonc@gmail.com"/>
    <hyperlink ref="G26" r:id="rId19" display="jgiamarco@blendontwp.org"/>
    <hyperlink ref="G27" r:id="rId20" display="twhittington@ymcacolumbus.org"/>
    <hyperlink ref="G29" r:id="rId21" display="thurley@grovecityohio.gov"/>
    <hyperlink ref="G30" r:id="rId22" display="austin.deschene@epa.ohio.gov"/>
    <hyperlink ref="G31" r:id="rId23" display="info@franklintoncycleworks.org"/>
    <hyperlink ref="G32" r:id="rId24" display="fdstaten@yahoo.com"/>
    <hyperlink ref="G33" r:id="rId25" display="cmcdonald@fpconservatory.org"/>
    <hyperlink ref="G34" r:id="rId26" display="kdevlin@impactca.org &amp; jkessler@impactca.org "/>
    <hyperlink ref="G35" r:id="rId27" display="renecoats@aol.com"/>
    <hyperlink ref="G36" r:id="rId28" display="bartleju@gmail.com"/>
    <hyperlink ref="G37" r:id="rId29" display="kbe@gmx.us"/>
    <hyperlink ref="G38" r:id="rId30" display="aleber@gmail.com"/>
    <hyperlink ref="G39" r:id="rId31" display="thurley@grovecityohio.gov"/>
    <hyperlink ref="G40" r:id="rId32" display="david.celebrezze@westerville.org"/>
    <hyperlink ref="G41" r:id="rId33" display="lucilletoth2@gmail.com"/>
    <hyperlink ref="G42" r:id="rId34" display="layla.abraham@epa.ohio.gov"/>
    <hyperlink ref="G43" r:id="rId35" display="djohnson@morpc.org"/>
    <hyperlink ref="G44" r:id="rId36" display="kmatson@morpc.org"/>
    <hyperlink ref="G45" r:id="rId37" display="msheiderer@morpc.org"/>
    <hyperlink ref="G46" r:id="rId38" display="david.celebrezze@westerville.org"/>
    <hyperlink ref="G47" r:id="rId39" display="kmuenster@ncusolutions.com"/>
    <hyperlink ref="G48" r:id="rId40" display="hollyrast@franklincountyohio.gov"/>
    <hyperlink ref="G49" r:id="rId41" display="amancz@morpc.org"/>
    <hyperlink ref="G50" r:id="rId42" display="hanna.94@osu.edu"/>
    <hyperlink ref="G51" r:id="rId43" display="waco.org"/>
    <hyperlink ref="G52" r:id="rId44" display="wmurdock@morpc.org"/>
    <hyperlink ref="G53" r:id="rId45" display="john.s.esterly@gmail.com"/>
    <hyperlink ref="G54" r:id="rId46" display="bwhetstone@morpc.org"/>
    <hyperlink ref="G55" r:id="rId47" display="ellienowels@gmail.com"/>
    <hyperlink ref="G56" r:id="rId48" display="kdevlin@impactca.org"/>
    <hyperlink ref="G57" r:id="rId49" display="rachaeln.be@gmail.com"/>
    <hyperlink ref="G58" r:id="rId50" display="jjewell@prairietownship.org"/>
    <hyperlink ref="G59" r:id="rId51" display="mack.parks@gmail.com"/>
    <hyperlink ref="G60" r:id="rId52" display="pkennedy@columbusairports.com"/>
    <hyperlink ref="G61" r:id="rId53" display="djroseman@msn.com"/>
    <hyperlink ref="G62" r:id="rId54" display="1865jmc@gmail.com"/>
    <hyperlink ref="G63" r:id="rId55" display="coss.31@osu.edu"/>
    <hyperlink ref="G64" r:id="rId56" display="allegra@thefortinc.com"/>
    <hyperlink ref="G65" r:id="rId57" display="paul@highlandyouthgarden.org"/>
    <hyperlink ref="G66" r:id="rId58" display="jdpolarbear@gmail.com"/>
    <hyperlink ref="G67" r:id="rId59" display="jjewell@prairietownship.org"/>
    <hyperlink ref="G68" r:id="rId60" display="nick.stanich@franklintonfarms.org"/>
    <hyperlink ref="G69" r:id="rId61" display="1jppburke@gmail.com"/>
    <hyperlink ref="G70" r:id="rId62" display="columbus_southpaw@yahoo.com"/>
    <hyperlink ref="G71" r:id="rId63" display="hankem1@live.com"/>
    <hyperlink ref="G72" r:id="rId64" display="nickiemillington@gmail.com"/>
    <hyperlink ref="G73" r:id="rId65" display="ggluvsfla@gmail.com"/>
    <hyperlink ref="G74" r:id="rId66" display="laylaabraham@franklincountyohio.gov"/>
    <hyperlink ref="G75" r:id="rId67" display="kelsey.bartholomew@gahanna.gov"/>
    <hyperlink ref="G76" r:id="rId68" display="mdiazhernandez@morpc.org"/>
  </hyperlinks>
  <printOptions headings="false" gridLines="false" gridLinesSet="true" horizontalCentered="false" verticalCentered="false"/>
  <pageMargins left="0" right="0" top="0" bottom="0"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C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0" topLeftCell="GD1" activePane="topRight" state="frozen"/>
      <selection pane="topLeft" activeCell="A1" activeCellId="0" sqref="A1"/>
      <selection pane="topRight" activeCell="GJ72" activeCellId="0" sqref="GJ72"/>
    </sheetView>
  </sheetViews>
  <sheetFormatPr defaultColWidth="12.42578125" defaultRowHeight="15.75" zeroHeight="false" outlineLevelRow="0" outlineLevelCol="0"/>
  <cols>
    <col collapsed="false" customWidth="true" hidden="false" outlineLevel="0" max="1" min="1" style="0" width="18.14"/>
    <col collapsed="false" customWidth="true" hidden="false" outlineLevel="0" max="3" min="2" style="0" width="11.29"/>
    <col collapsed="false" customWidth="true" hidden="false" outlineLevel="0" max="4" min="4" style="0" width="10.29"/>
    <col collapsed="false" customWidth="true" hidden="false" outlineLevel="0" max="6" min="5" style="0" width="11.29"/>
    <col collapsed="false" customWidth="true" hidden="false" outlineLevel="0" max="7" min="7" style="0" width="10.29"/>
    <col collapsed="false" customWidth="true" hidden="false" outlineLevel="0" max="10" min="8" style="0" width="11.29"/>
    <col collapsed="false" customWidth="true" hidden="false" outlineLevel="0" max="11" min="11" style="0" width="10.29"/>
    <col collapsed="false" customWidth="true" hidden="false" outlineLevel="0" max="14" min="12" style="0" width="11.29"/>
    <col collapsed="false" customWidth="true" hidden="false" outlineLevel="0" max="16" min="15" style="0" width="10.29"/>
    <col collapsed="false" customWidth="true" hidden="false" outlineLevel="0" max="18" min="17" style="0" width="11.29"/>
    <col collapsed="false" customWidth="true" hidden="false" outlineLevel="0" max="19" min="19" style="0" width="10.29"/>
    <col collapsed="false" customWidth="true" hidden="false" outlineLevel="0" max="21" min="20" style="0" width="11.29"/>
    <col collapsed="false" customWidth="true" hidden="false" outlineLevel="0" max="22" min="22" style="0" width="10.29"/>
    <col collapsed="false" customWidth="true" hidden="false" outlineLevel="0" max="24" min="23" style="0" width="11.29"/>
    <col collapsed="false" customWidth="true" hidden="false" outlineLevel="0" max="26" min="25" style="0" width="10.29"/>
    <col collapsed="false" customWidth="true" hidden="false" outlineLevel="0" max="29" min="27" style="0" width="11.29"/>
    <col collapsed="false" customWidth="true" hidden="false" outlineLevel="0" max="30" min="30" style="0" width="10.29"/>
    <col collapsed="false" customWidth="true" hidden="false" outlineLevel="0" max="34" min="31" style="0" width="11.29"/>
    <col collapsed="false" customWidth="true" hidden="false" outlineLevel="0" max="38" min="35" style="0" width="12.29"/>
    <col collapsed="false" customWidth="true" hidden="false" outlineLevel="0" max="39" min="39" style="0" width="11.29"/>
    <col collapsed="false" customWidth="true" hidden="false" outlineLevel="0" max="42" min="40" style="0" width="12.29"/>
    <col collapsed="false" customWidth="true" hidden="false" outlineLevel="0" max="43" min="43" style="0" width="11.29"/>
    <col collapsed="false" customWidth="true" hidden="false" outlineLevel="0" max="46" min="44" style="0" width="12.29"/>
    <col collapsed="false" customWidth="true" hidden="false" outlineLevel="0" max="48" min="47" style="0" width="10.29"/>
    <col collapsed="false" customWidth="true" hidden="false" outlineLevel="0" max="51" min="49" style="0" width="11.29"/>
    <col collapsed="false" customWidth="true" hidden="false" outlineLevel="0" max="52" min="52" style="0" width="10.29"/>
    <col collapsed="false" customWidth="true" hidden="false" outlineLevel="0" max="55" min="53" style="0" width="11.29"/>
    <col collapsed="false" customWidth="true" hidden="false" outlineLevel="0" max="56" min="56" style="0" width="10.29"/>
    <col collapsed="false" customWidth="true" hidden="false" outlineLevel="0" max="59" min="57" style="0" width="11.29"/>
    <col collapsed="false" customWidth="true" hidden="false" outlineLevel="0" max="60" min="60" style="0" width="10.29"/>
    <col collapsed="false" customWidth="true" hidden="false" outlineLevel="0" max="63" min="61" style="0" width="11.29"/>
    <col collapsed="false" customWidth="true" hidden="false" outlineLevel="0" max="65" min="64" style="0" width="10.29"/>
    <col collapsed="false" customWidth="true" hidden="false" outlineLevel="0" max="68" min="66" style="0" width="11.29"/>
    <col collapsed="false" customWidth="true" hidden="false" outlineLevel="0" max="69" min="69" style="0" width="10.29"/>
    <col collapsed="false" customWidth="true" hidden="false" outlineLevel="0" max="72" min="70" style="0" width="11.29"/>
    <col collapsed="false" customWidth="true" hidden="false" outlineLevel="0" max="73" min="73" style="0" width="10.29"/>
    <col collapsed="false" customWidth="true" hidden="false" outlineLevel="0" max="77" min="74" style="0" width="11.29"/>
    <col collapsed="false" customWidth="true" hidden="false" outlineLevel="0" max="78" min="78" style="0" width="10.29"/>
    <col collapsed="false" customWidth="true" hidden="false" outlineLevel="0" max="81" min="79" style="0" width="11.29"/>
    <col collapsed="false" customWidth="true" hidden="false" outlineLevel="0" max="82" min="82" style="0" width="10.29"/>
    <col collapsed="false" customWidth="true" hidden="false" outlineLevel="0" max="87" min="83" style="0" width="11.29"/>
    <col collapsed="false" customWidth="true" hidden="false" outlineLevel="0" max="90" min="88" style="0" width="12.29"/>
    <col collapsed="false" customWidth="true" hidden="false" outlineLevel="0" max="91" min="91" style="0" width="11.29"/>
    <col collapsed="false" customWidth="true" hidden="false" outlineLevel="0" max="94" min="92" style="0" width="14.57"/>
    <col collapsed="false" customWidth="true" hidden="false" outlineLevel="0" max="95" min="95" style="0" width="13.57"/>
    <col collapsed="false" customWidth="true" hidden="false" outlineLevel="0" max="98" min="96" style="0" width="14.57"/>
    <col collapsed="false" customWidth="true" hidden="false" outlineLevel="0" max="100" min="99" style="0" width="12.57"/>
    <col collapsed="false" customWidth="true" hidden="false" outlineLevel="0" max="103" min="101" style="0" width="13.57"/>
    <col collapsed="false" customWidth="true" hidden="false" outlineLevel="0" max="104" min="104" style="0" width="12.57"/>
    <col collapsed="false" customWidth="true" hidden="false" outlineLevel="0" max="107" min="105" style="0" width="13.57"/>
    <col collapsed="false" customWidth="true" hidden="false" outlineLevel="0" max="108" min="108" style="0" width="12.57"/>
    <col collapsed="false" customWidth="true" hidden="false" outlineLevel="0" max="111" min="109" style="0" width="13.57"/>
    <col collapsed="false" customWidth="true" hidden="false" outlineLevel="0" max="113" min="112" style="0" width="12.57"/>
    <col collapsed="false" customWidth="true" hidden="false" outlineLevel="0" max="116" min="114" style="0" width="13.57"/>
    <col collapsed="false" customWidth="true" hidden="false" outlineLevel="0" max="117" min="117" style="0" width="12.57"/>
    <col collapsed="false" customWidth="true" hidden="false" outlineLevel="0" max="120" min="118" style="0" width="13.57"/>
    <col collapsed="false" customWidth="true" hidden="false" outlineLevel="0" max="121" min="121" style="0" width="12.57"/>
    <col collapsed="false" customWidth="true" hidden="false" outlineLevel="0" max="124" min="122" style="0" width="13.57"/>
    <col collapsed="false" customWidth="true" hidden="false" outlineLevel="0" max="126" min="125" style="0" width="12.57"/>
    <col collapsed="false" customWidth="true" hidden="false" outlineLevel="0" max="129" min="127" style="0" width="13.57"/>
    <col collapsed="false" customWidth="true" hidden="false" outlineLevel="0" max="130" min="130" style="0" width="12.57"/>
    <col collapsed="false" customWidth="true" hidden="false" outlineLevel="0" max="133" min="131" style="0" width="13.57"/>
    <col collapsed="false" customWidth="true" hidden="false" outlineLevel="0" max="135" min="134" style="0" width="12.57"/>
    <col collapsed="false" customWidth="true" hidden="false" outlineLevel="0" max="139" min="136" style="0" width="13.57"/>
    <col collapsed="false" customWidth="true" hidden="false" outlineLevel="0" max="142" min="140" style="0" width="14.57"/>
    <col collapsed="false" customWidth="true" hidden="false" outlineLevel="0" max="143" min="143" style="0" width="13.57"/>
    <col collapsed="false" customWidth="true" hidden="false" outlineLevel="0" max="146" min="144" style="0" width="14.57"/>
    <col collapsed="false" customWidth="true" hidden="false" outlineLevel="0" max="148" min="147" style="0" width="13.57"/>
    <col collapsed="false" customWidth="true" hidden="false" outlineLevel="0" max="151" min="149" style="0" width="14.57"/>
    <col collapsed="false" customWidth="true" hidden="false" outlineLevel="0" max="152" min="152" style="0" width="12.57"/>
  </cols>
  <sheetData>
    <row r="1" s="177" customFormat="true" ht="16.5" hidden="false" customHeight="true" outlineLevel="0" collapsed="false">
      <c r="A1" s="173" t="s">
        <v>48</v>
      </c>
      <c r="B1" s="174" t="n">
        <v>44585</v>
      </c>
      <c r="C1" s="174" t="n">
        <v>44592</v>
      </c>
      <c r="D1" s="174" t="n">
        <v>44599</v>
      </c>
      <c r="E1" s="174" t="n">
        <v>44606</v>
      </c>
      <c r="F1" s="174" t="n">
        <v>44620</v>
      </c>
      <c r="G1" s="174" t="n">
        <v>44627</v>
      </c>
      <c r="H1" s="174" t="n">
        <v>44634</v>
      </c>
      <c r="I1" s="174" t="n">
        <v>44641</v>
      </c>
      <c r="J1" s="174" t="n">
        <v>44649</v>
      </c>
      <c r="K1" s="174" t="n">
        <v>44655</v>
      </c>
      <c r="L1" s="174" t="n">
        <v>44662</v>
      </c>
      <c r="M1" s="174" t="n">
        <v>44669</v>
      </c>
      <c r="N1" s="174" t="n">
        <v>44676</v>
      </c>
      <c r="O1" s="174" t="n">
        <v>44683</v>
      </c>
      <c r="P1" s="174" t="n">
        <v>44690</v>
      </c>
      <c r="Q1" s="174" t="n">
        <v>44704</v>
      </c>
      <c r="R1" s="174" t="n">
        <v>44712</v>
      </c>
      <c r="S1" s="174" t="n">
        <v>44718</v>
      </c>
      <c r="T1" s="174" t="n">
        <v>44725</v>
      </c>
      <c r="U1" s="174" t="n">
        <v>44732</v>
      </c>
      <c r="V1" s="174" t="n">
        <v>44750</v>
      </c>
      <c r="W1" s="174" t="n">
        <v>44753</v>
      </c>
      <c r="X1" s="174" t="n">
        <v>44767</v>
      </c>
      <c r="Y1" s="174" t="n">
        <v>44774</v>
      </c>
      <c r="Z1" s="174" t="n">
        <v>44781</v>
      </c>
      <c r="AA1" s="174" t="n">
        <v>44789</v>
      </c>
      <c r="AB1" s="174" t="n">
        <v>44795</v>
      </c>
      <c r="AC1" s="174" t="n">
        <v>44802</v>
      </c>
      <c r="AD1" s="174" t="n">
        <v>44810</v>
      </c>
      <c r="AE1" s="174" t="n">
        <v>44816</v>
      </c>
      <c r="AF1" s="174" t="n">
        <v>44823</v>
      </c>
      <c r="AG1" s="174" t="n">
        <v>44830</v>
      </c>
      <c r="AH1" s="174" t="n">
        <v>44837</v>
      </c>
      <c r="AI1" s="174" t="n">
        <v>44844</v>
      </c>
      <c r="AJ1" s="174" t="n">
        <v>44851</v>
      </c>
      <c r="AK1" s="174" t="n">
        <v>44858</v>
      </c>
      <c r="AL1" s="174" t="n">
        <v>44865</v>
      </c>
      <c r="AM1" s="174" t="n">
        <v>44872</v>
      </c>
      <c r="AN1" s="174" t="n">
        <v>44879</v>
      </c>
      <c r="AO1" s="174" t="n">
        <v>44886</v>
      </c>
      <c r="AP1" s="174" t="n">
        <v>44893</v>
      </c>
      <c r="AQ1" s="174" t="n">
        <v>44900</v>
      </c>
      <c r="AR1" s="174" t="n">
        <v>44908</v>
      </c>
      <c r="AS1" s="174" t="n">
        <v>44914</v>
      </c>
      <c r="AT1" s="174" t="n">
        <v>44921</v>
      </c>
      <c r="AU1" s="174" t="n">
        <v>44929</v>
      </c>
      <c r="AV1" s="174" t="n">
        <v>44935</v>
      </c>
      <c r="AW1" s="174" t="n">
        <v>44943</v>
      </c>
      <c r="AX1" s="174" t="n">
        <v>44949</v>
      </c>
      <c r="AY1" s="174" t="n">
        <v>44956</v>
      </c>
      <c r="AZ1" s="174" t="n">
        <v>44963</v>
      </c>
      <c r="BA1" s="174" t="n">
        <v>44970</v>
      </c>
      <c r="BB1" s="174" t="n">
        <v>44977</v>
      </c>
      <c r="BC1" s="174" t="n">
        <v>44984</v>
      </c>
      <c r="BD1" s="174" t="n">
        <v>44991</v>
      </c>
      <c r="BE1" s="174" t="n">
        <v>44998</v>
      </c>
      <c r="BF1" s="174" t="n">
        <v>45005</v>
      </c>
      <c r="BG1" s="174" t="n">
        <v>45012</v>
      </c>
      <c r="BH1" s="174" t="n">
        <v>45019</v>
      </c>
      <c r="BI1" s="174" t="n">
        <v>45026</v>
      </c>
      <c r="BJ1" s="174" t="n">
        <v>45033</v>
      </c>
      <c r="BK1" s="174" t="n">
        <v>45040</v>
      </c>
      <c r="BL1" s="174" t="n">
        <v>45047</v>
      </c>
      <c r="BM1" s="174" t="n">
        <v>45054</v>
      </c>
      <c r="BN1" s="174" t="n">
        <v>45061</v>
      </c>
      <c r="BO1" s="174" t="n">
        <v>45068</v>
      </c>
      <c r="BP1" s="174" t="n">
        <v>45076</v>
      </c>
      <c r="BQ1" s="174" t="n">
        <v>45082</v>
      </c>
      <c r="BR1" s="174" t="n">
        <v>45089</v>
      </c>
      <c r="BS1" s="174" t="n">
        <v>45096</v>
      </c>
      <c r="BT1" s="174" t="n">
        <v>45103</v>
      </c>
      <c r="BU1" s="174" t="n">
        <v>45110</v>
      </c>
      <c r="BV1" s="175" t="n">
        <v>45117</v>
      </c>
      <c r="BW1" s="175" t="n">
        <v>45124</v>
      </c>
      <c r="BX1" s="175" t="n">
        <v>45131</v>
      </c>
      <c r="BY1" s="175" t="n">
        <v>45138</v>
      </c>
      <c r="BZ1" s="175" t="n">
        <v>45145</v>
      </c>
      <c r="CA1" s="175" t="n">
        <v>45152</v>
      </c>
      <c r="CB1" s="175" t="n">
        <v>45159</v>
      </c>
      <c r="CC1" s="175" t="n">
        <v>45166</v>
      </c>
      <c r="CD1" s="175" t="n">
        <v>45173</v>
      </c>
      <c r="CE1" s="175" t="n">
        <v>45180</v>
      </c>
      <c r="CF1" s="175" t="n">
        <v>45187</v>
      </c>
      <c r="CG1" s="175" t="n">
        <v>45194</v>
      </c>
      <c r="CH1" s="175" t="n">
        <v>45201</v>
      </c>
      <c r="CI1" s="175" t="n">
        <v>45208</v>
      </c>
      <c r="CJ1" s="175" t="n">
        <v>45215</v>
      </c>
      <c r="CK1" s="175" t="n">
        <v>45222</v>
      </c>
      <c r="CL1" s="175" t="n">
        <v>45229</v>
      </c>
      <c r="CM1" s="175" t="n">
        <v>45236</v>
      </c>
      <c r="CN1" s="176" t="n">
        <v>45243</v>
      </c>
      <c r="CO1" s="175" t="n">
        <v>45250</v>
      </c>
      <c r="CP1" s="175" t="n">
        <v>45257</v>
      </c>
      <c r="CQ1" s="175" t="n">
        <v>45264</v>
      </c>
      <c r="CR1" s="175" t="n">
        <v>45271</v>
      </c>
      <c r="CS1" s="175" t="n">
        <v>45278</v>
      </c>
      <c r="CT1" s="175" t="n">
        <v>45285</v>
      </c>
      <c r="CU1" s="175" t="n">
        <v>45292</v>
      </c>
      <c r="CV1" s="175" t="n">
        <v>45299</v>
      </c>
      <c r="CW1" s="175" t="n">
        <v>45306</v>
      </c>
      <c r="CX1" s="175" t="n">
        <v>45313</v>
      </c>
      <c r="CY1" s="175" t="n">
        <v>45320</v>
      </c>
      <c r="CZ1" s="175" t="n">
        <v>45327</v>
      </c>
      <c r="DA1" s="175" t="n">
        <v>45334</v>
      </c>
      <c r="DB1" s="175" t="n">
        <v>45341</v>
      </c>
      <c r="DC1" s="175" t="n">
        <v>45348</v>
      </c>
      <c r="DD1" s="175" t="n">
        <v>45355</v>
      </c>
      <c r="DE1" s="175" t="n">
        <v>45362</v>
      </c>
      <c r="DF1" s="175" t="n">
        <v>45369</v>
      </c>
      <c r="DG1" s="175" t="n">
        <v>45376</v>
      </c>
      <c r="DH1" s="175" t="n">
        <v>45383</v>
      </c>
      <c r="DI1" s="175" t="n">
        <v>45390</v>
      </c>
      <c r="DJ1" s="175" t="n">
        <v>45397</v>
      </c>
      <c r="DK1" s="175" t="n">
        <v>45404</v>
      </c>
      <c r="DL1" s="175" t="n">
        <v>45411</v>
      </c>
      <c r="DM1" s="175" t="n">
        <v>45418</v>
      </c>
      <c r="DN1" s="175" t="n">
        <v>45425</v>
      </c>
      <c r="DO1" s="175" t="n">
        <v>45432</v>
      </c>
      <c r="DP1" s="175" t="n">
        <v>45439</v>
      </c>
      <c r="DQ1" s="175" t="n">
        <v>45446</v>
      </c>
      <c r="DR1" s="175" t="n">
        <v>45453</v>
      </c>
      <c r="DS1" s="175" t="n">
        <v>45460</v>
      </c>
      <c r="DT1" s="175" t="n">
        <v>45467</v>
      </c>
      <c r="DU1" s="175" t="n">
        <v>45474</v>
      </c>
      <c r="DV1" s="175" t="n">
        <v>45481</v>
      </c>
      <c r="DW1" s="175" t="n">
        <v>45488</v>
      </c>
      <c r="DX1" s="175" t="n">
        <v>45495</v>
      </c>
      <c r="DY1" s="175" t="n">
        <v>45502</v>
      </c>
      <c r="DZ1" s="175" t="n">
        <v>45509</v>
      </c>
      <c r="EA1" s="175" t="n">
        <v>45516</v>
      </c>
      <c r="EB1" s="175" t="n">
        <v>45523</v>
      </c>
      <c r="EC1" s="175" t="n">
        <v>45530</v>
      </c>
      <c r="ED1" s="175" t="n">
        <v>45537</v>
      </c>
      <c r="EE1" s="175" t="n">
        <v>45544</v>
      </c>
      <c r="EF1" s="175" t="n">
        <v>45551</v>
      </c>
      <c r="EG1" s="175" t="n">
        <v>45558</v>
      </c>
      <c r="EH1" s="175" t="n">
        <v>45565</v>
      </c>
      <c r="EI1" s="175" t="n">
        <v>45572</v>
      </c>
      <c r="EJ1" s="175" t="n">
        <v>45579</v>
      </c>
      <c r="EK1" s="175" t="n">
        <v>45586</v>
      </c>
      <c r="EL1" s="175" t="n">
        <v>45593</v>
      </c>
      <c r="EM1" s="175" t="n">
        <v>45600</v>
      </c>
      <c r="EN1" s="175" t="n">
        <v>45607</v>
      </c>
      <c r="EO1" s="175" t="n">
        <v>45614</v>
      </c>
      <c r="EP1" s="175" t="n">
        <v>45621</v>
      </c>
      <c r="EQ1" s="175" t="n">
        <v>45628</v>
      </c>
      <c r="ER1" s="175" t="n">
        <v>45635</v>
      </c>
      <c r="ES1" s="175" t="n">
        <v>45642</v>
      </c>
      <c r="ET1" s="175" t="n">
        <v>45649</v>
      </c>
      <c r="EU1" s="175" t="n">
        <v>45656</v>
      </c>
      <c r="EV1" s="175" t="n">
        <v>45663</v>
      </c>
      <c r="EW1" s="175" t="n">
        <v>45670</v>
      </c>
      <c r="EX1" s="175" t="n">
        <v>45677</v>
      </c>
      <c r="EY1" s="175" t="n">
        <v>45684</v>
      </c>
      <c r="EZ1" s="175" t="n">
        <v>45691</v>
      </c>
      <c r="FA1" s="175" t="n">
        <v>45698</v>
      </c>
      <c r="FB1" s="175" t="n">
        <v>45705</v>
      </c>
      <c r="FC1" s="175" t="n">
        <v>45712</v>
      </c>
      <c r="FD1" s="175" t="n">
        <v>45719</v>
      </c>
      <c r="FE1" s="175" t="n">
        <v>45726</v>
      </c>
      <c r="FF1" s="175" t="n">
        <v>45733</v>
      </c>
      <c r="FG1" s="175" t="n">
        <v>45740</v>
      </c>
      <c r="FH1" s="175" t="n">
        <v>45747</v>
      </c>
      <c r="FI1" s="175" t="n">
        <v>45754</v>
      </c>
      <c r="FJ1" s="175" t="n">
        <v>45761</v>
      </c>
      <c r="FK1" s="175" t="n">
        <v>45768</v>
      </c>
      <c r="FL1" s="175" t="n">
        <v>45775</v>
      </c>
      <c r="FM1" s="175" t="n">
        <v>45782</v>
      </c>
      <c r="FN1" s="175" t="n">
        <v>45789</v>
      </c>
      <c r="FO1" s="175" t="n">
        <v>45796</v>
      </c>
      <c r="FP1" s="175" t="n">
        <v>45803</v>
      </c>
      <c r="FQ1" s="175" t="n">
        <v>45810</v>
      </c>
      <c r="FR1" s="175" t="n">
        <v>45817</v>
      </c>
      <c r="FS1" s="175" t="n">
        <v>45824</v>
      </c>
      <c r="FT1" s="175" t="n">
        <v>45831</v>
      </c>
      <c r="FU1" s="175" t="n">
        <v>45838</v>
      </c>
      <c r="FV1" s="175" t="n">
        <v>45845</v>
      </c>
      <c r="FW1" s="175" t="n">
        <v>45852</v>
      </c>
      <c r="FX1" s="175" t="n">
        <v>45859</v>
      </c>
      <c r="FY1" s="175" t="n">
        <v>45866</v>
      </c>
      <c r="FZ1" s="175" t="n">
        <v>45873</v>
      </c>
      <c r="GA1" s="175" t="n">
        <v>45880</v>
      </c>
      <c r="GB1" s="175" t="n">
        <v>45887</v>
      </c>
      <c r="GC1" s="175" t="n">
        <v>45894</v>
      </c>
      <c r="GD1" s="175" t="n">
        <v>45901</v>
      </c>
      <c r="GE1" s="175" t="n">
        <v>45908</v>
      </c>
      <c r="GF1" s="175" t="n">
        <v>45915</v>
      </c>
      <c r="GG1" s="175" t="n">
        <v>45922</v>
      </c>
      <c r="GH1" s="175" t="n">
        <v>45929</v>
      </c>
      <c r="GI1" s="175" t="n">
        <v>45936</v>
      </c>
      <c r="GJ1" s="175" t="n">
        <v>45943</v>
      </c>
      <c r="GK1" s="175" t="n">
        <v>45950</v>
      </c>
      <c r="GL1" s="175" t="n">
        <v>45957</v>
      </c>
      <c r="GM1" s="175" t="n">
        <v>45964</v>
      </c>
      <c r="GN1" s="175" t="n">
        <v>45971</v>
      </c>
      <c r="GO1" s="175" t="n">
        <v>45978</v>
      </c>
      <c r="GP1" s="175" t="n">
        <v>45985</v>
      </c>
      <c r="GQ1" s="175" t="n">
        <v>45992</v>
      </c>
      <c r="GR1" s="175" t="n">
        <v>45999</v>
      </c>
      <c r="GS1" s="175" t="n">
        <v>46006</v>
      </c>
      <c r="GT1" s="175" t="n">
        <v>46013</v>
      </c>
      <c r="GU1" s="175" t="n">
        <v>46020</v>
      </c>
      <c r="GV1" s="175" t="n">
        <v>46027</v>
      </c>
      <c r="GW1" s="175" t="n">
        <v>46034</v>
      </c>
      <c r="GX1" s="175" t="n">
        <v>46041</v>
      </c>
      <c r="GY1" s="175" t="n">
        <v>46048</v>
      </c>
      <c r="GZ1" s="175" t="n">
        <v>46055</v>
      </c>
      <c r="HA1" s="175" t="n">
        <v>46062</v>
      </c>
      <c r="HB1" s="175" t="n">
        <v>46069</v>
      </c>
      <c r="HC1" s="175" t="n">
        <v>46076</v>
      </c>
      <c r="HD1" s="175" t="n">
        <v>46083</v>
      </c>
      <c r="HE1" s="175" t="n">
        <v>46090</v>
      </c>
      <c r="HF1" s="175" t="n">
        <v>46097</v>
      </c>
      <c r="HG1" s="175" t="n">
        <v>46104</v>
      </c>
      <c r="HH1" s="175" t="n">
        <v>46111</v>
      </c>
      <c r="HI1" s="175" t="n">
        <v>46118</v>
      </c>
      <c r="HJ1" s="175" t="n">
        <v>46125</v>
      </c>
      <c r="HK1" s="175" t="n">
        <v>46132</v>
      </c>
      <c r="HL1" s="175" t="n">
        <v>46139</v>
      </c>
      <c r="HM1" s="175" t="n">
        <v>46146</v>
      </c>
      <c r="HN1" s="175" t="n">
        <v>46153</v>
      </c>
      <c r="HO1" s="175" t="n">
        <v>46160</v>
      </c>
      <c r="HP1" s="175" t="n">
        <v>46167</v>
      </c>
      <c r="HQ1" s="175" t="n">
        <v>46174</v>
      </c>
      <c r="HR1" s="175" t="n">
        <v>46181</v>
      </c>
      <c r="HS1" s="175" t="n">
        <v>46188</v>
      </c>
      <c r="HT1" s="175" t="n">
        <v>46195</v>
      </c>
      <c r="HU1" s="175" t="n">
        <v>46202</v>
      </c>
      <c r="HV1" s="175" t="n">
        <v>46209</v>
      </c>
      <c r="HW1" s="175" t="n">
        <v>46216</v>
      </c>
      <c r="HX1" s="175" t="n">
        <v>46223</v>
      </c>
      <c r="HY1" s="175" t="n">
        <v>46230</v>
      </c>
      <c r="HZ1" s="175" t="n">
        <v>46237</v>
      </c>
      <c r="IA1" s="175" t="n">
        <v>46244</v>
      </c>
      <c r="IB1" s="175" t="n">
        <v>46251</v>
      </c>
      <c r="IC1" s="175" t="n">
        <v>46258</v>
      </c>
    </row>
    <row r="2" s="177" customFormat="true" ht="15.75" hidden="false" customHeight="false" outlineLevel="0" collapsed="false">
      <c r="A2" s="178" t="s">
        <v>68</v>
      </c>
      <c r="B2" s="179" t="s">
        <v>41</v>
      </c>
      <c r="C2" s="179" t="s">
        <v>41</v>
      </c>
      <c r="D2" s="180" t="s">
        <v>33</v>
      </c>
      <c r="E2" s="179" t="s">
        <v>41</v>
      </c>
      <c r="F2" s="179" t="s">
        <v>41</v>
      </c>
      <c r="G2" s="174"/>
      <c r="H2" s="174"/>
      <c r="I2" s="174"/>
      <c r="J2" s="174"/>
      <c r="K2" s="174"/>
      <c r="L2" s="174"/>
      <c r="M2" s="174"/>
      <c r="N2" s="174"/>
      <c r="O2" s="174"/>
      <c r="P2" s="174"/>
      <c r="Q2" s="174"/>
      <c r="R2" s="174"/>
      <c r="S2" s="174"/>
      <c r="T2" s="174"/>
      <c r="U2" s="174"/>
      <c r="V2" s="174"/>
      <c r="W2" s="174"/>
      <c r="X2" s="174"/>
      <c r="Y2" s="174"/>
      <c r="Z2" s="174"/>
      <c r="AA2" s="174"/>
      <c r="AB2" s="174"/>
      <c r="AC2" s="174"/>
      <c r="AD2" s="174"/>
      <c r="AE2" s="174"/>
      <c r="AF2" s="174"/>
      <c r="AG2" s="174"/>
      <c r="AH2" s="174"/>
      <c r="AI2" s="174"/>
      <c r="AJ2" s="174"/>
      <c r="AK2" s="174"/>
      <c r="AL2" s="174"/>
      <c r="AM2" s="174"/>
      <c r="AN2" s="174"/>
      <c r="AO2" s="174"/>
      <c r="AP2" s="174"/>
      <c r="AQ2" s="174"/>
      <c r="AR2" s="174"/>
      <c r="AS2" s="174"/>
      <c r="AT2" s="174"/>
      <c r="AU2" s="174"/>
      <c r="AV2" s="174"/>
      <c r="AW2" s="174"/>
      <c r="AX2" s="174"/>
      <c r="AY2" s="174"/>
      <c r="AZ2" s="174"/>
      <c r="BA2" s="174"/>
      <c r="BB2" s="174"/>
      <c r="BC2" s="174"/>
      <c r="BD2" s="174"/>
      <c r="BE2" s="174"/>
      <c r="BF2" s="174"/>
      <c r="BG2" s="174"/>
      <c r="BH2" s="174"/>
      <c r="BI2" s="174"/>
      <c r="BJ2" s="174"/>
      <c r="BK2" s="174"/>
      <c r="BL2" s="174"/>
      <c r="BM2" s="174"/>
      <c r="BN2" s="174"/>
      <c r="BO2" s="174"/>
      <c r="BP2" s="174"/>
      <c r="BQ2" s="174"/>
      <c r="BR2" s="174"/>
      <c r="BS2" s="174"/>
      <c r="BT2" s="174"/>
      <c r="BU2" s="174"/>
      <c r="BV2" s="181"/>
      <c r="BW2" s="181"/>
      <c r="BX2" s="181"/>
      <c r="BY2" s="181"/>
      <c r="BZ2" s="181"/>
      <c r="CA2" s="181"/>
      <c r="CB2" s="181"/>
      <c r="CC2" s="181"/>
      <c r="CD2" s="181"/>
      <c r="CE2" s="181"/>
      <c r="CF2" s="181"/>
      <c r="CG2" s="181"/>
      <c r="CH2" s="181"/>
      <c r="CI2" s="181"/>
      <c r="CJ2" s="181"/>
      <c r="CK2" s="181"/>
      <c r="CL2" s="181"/>
      <c r="CM2" s="182"/>
      <c r="CN2" s="182"/>
      <c r="CO2" s="182"/>
      <c r="CP2" s="181"/>
      <c r="CQ2" s="181"/>
      <c r="CR2" s="181"/>
      <c r="CS2" s="175"/>
      <c r="CT2" s="175"/>
      <c r="CU2" s="175"/>
      <c r="CV2" s="181"/>
      <c r="CW2" s="183"/>
      <c r="CX2" s="174"/>
      <c r="CY2" s="174"/>
      <c r="CZ2" s="174"/>
      <c r="DA2" s="174"/>
      <c r="DB2" s="174"/>
      <c r="DC2" s="174"/>
      <c r="DD2" s="174"/>
      <c r="DE2" s="174"/>
      <c r="DF2" s="174"/>
      <c r="DG2" s="174"/>
      <c r="DH2" s="174"/>
      <c r="DI2" s="174"/>
      <c r="DJ2" s="174"/>
      <c r="DK2" s="174"/>
      <c r="DL2" s="174"/>
      <c r="DM2" s="174"/>
      <c r="DN2" s="174"/>
      <c r="DO2" s="174"/>
      <c r="DP2" s="174"/>
      <c r="DQ2" s="174"/>
      <c r="DR2" s="174"/>
      <c r="DS2" s="174"/>
      <c r="DT2" s="174"/>
      <c r="DU2" s="174"/>
      <c r="DV2" s="174"/>
      <c r="DW2" s="174"/>
      <c r="DX2" s="174"/>
      <c r="DY2" s="174"/>
      <c r="DZ2" s="174"/>
      <c r="EA2" s="174"/>
      <c r="EB2" s="174"/>
      <c r="EC2" s="174"/>
      <c r="ED2" s="174"/>
      <c r="EE2" s="174"/>
      <c r="EF2" s="174"/>
      <c r="EG2" s="174"/>
      <c r="EH2" s="174"/>
      <c r="EI2" s="174"/>
      <c r="EJ2" s="174"/>
      <c r="EK2" s="174"/>
      <c r="EL2" s="174"/>
      <c r="EM2" s="174"/>
      <c r="EN2" s="174"/>
      <c r="EO2" s="174"/>
      <c r="EP2" s="174"/>
      <c r="EQ2" s="174"/>
      <c r="ER2" s="174"/>
      <c r="ES2" s="174"/>
      <c r="ET2" s="174"/>
      <c r="EU2" s="174"/>
      <c r="EV2" s="174"/>
    </row>
    <row r="3" customFormat="false" ht="15.75" hidden="false" customHeight="false" outlineLevel="0" collapsed="false">
      <c r="A3" s="20" t="s">
        <v>81</v>
      </c>
      <c r="B3" s="184" t="s">
        <v>33</v>
      </c>
      <c r="C3" s="184" t="s">
        <v>33</v>
      </c>
      <c r="D3" s="184" t="s">
        <v>33</v>
      </c>
      <c r="E3" s="184" t="s">
        <v>33</v>
      </c>
      <c r="F3" s="184" t="s">
        <v>33</v>
      </c>
      <c r="G3" s="184" t="s">
        <v>33</v>
      </c>
      <c r="H3" s="184" t="s">
        <v>33</v>
      </c>
      <c r="I3" s="184" t="s">
        <v>33</v>
      </c>
      <c r="J3" s="184" t="s">
        <v>33</v>
      </c>
      <c r="K3" s="184" t="s">
        <v>33</v>
      </c>
      <c r="L3" s="184" t="s">
        <v>33</v>
      </c>
      <c r="M3" s="184" t="s">
        <v>33</v>
      </c>
      <c r="N3" s="184" t="s">
        <v>33</v>
      </c>
      <c r="O3" s="184" t="s">
        <v>33</v>
      </c>
      <c r="P3" s="184" t="s">
        <v>33</v>
      </c>
      <c r="Q3" s="184" t="s">
        <v>33</v>
      </c>
      <c r="R3" s="184" t="s">
        <v>33</v>
      </c>
      <c r="S3" s="184" t="s">
        <v>33</v>
      </c>
      <c r="T3" s="45" t="s">
        <v>37</v>
      </c>
      <c r="U3" s="184" t="s">
        <v>33</v>
      </c>
      <c r="V3" s="184" t="s">
        <v>33</v>
      </c>
      <c r="W3" s="184" t="s">
        <v>33</v>
      </c>
      <c r="X3" s="184" t="s">
        <v>33</v>
      </c>
      <c r="Y3" s="184" t="s">
        <v>33</v>
      </c>
      <c r="Z3" s="184" t="s">
        <v>33</v>
      </c>
      <c r="AA3" s="184" t="s">
        <v>33</v>
      </c>
      <c r="AB3" s="184" t="s">
        <v>33</v>
      </c>
      <c r="AC3" s="184" t="s">
        <v>33</v>
      </c>
      <c r="AD3" s="184" t="s">
        <v>33</v>
      </c>
      <c r="AE3" s="184" t="s">
        <v>33</v>
      </c>
      <c r="AF3" s="184" t="s">
        <v>33</v>
      </c>
      <c r="AG3" s="184" t="s">
        <v>33</v>
      </c>
      <c r="AH3" s="184" t="s">
        <v>33</v>
      </c>
      <c r="AI3" s="184" t="s">
        <v>33</v>
      </c>
      <c r="AJ3" s="184" t="s">
        <v>33</v>
      </c>
      <c r="AK3" s="184" t="s">
        <v>33</v>
      </c>
      <c r="AL3" s="184" t="s">
        <v>33</v>
      </c>
      <c r="AM3" s="184" t="s">
        <v>33</v>
      </c>
      <c r="AN3" s="184" t="s">
        <v>33</v>
      </c>
      <c r="AO3" s="184" t="s">
        <v>33</v>
      </c>
      <c r="AP3" s="184" t="s">
        <v>33</v>
      </c>
      <c r="AQ3" s="184" t="s">
        <v>33</v>
      </c>
      <c r="AR3" s="185" t="s">
        <v>37</v>
      </c>
      <c r="AS3" s="185" t="s">
        <v>37</v>
      </c>
      <c r="AT3" s="185" t="s">
        <v>37</v>
      </c>
      <c r="AU3" s="185" t="s">
        <v>37</v>
      </c>
      <c r="AV3" s="184" t="s">
        <v>33</v>
      </c>
      <c r="AW3" s="184" t="s">
        <v>33</v>
      </c>
      <c r="AX3" s="184" t="s">
        <v>33</v>
      </c>
      <c r="AY3" s="185" t="s">
        <v>37</v>
      </c>
      <c r="AZ3" s="184" t="s">
        <v>33</v>
      </c>
      <c r="BA3" s="184" t="s">
        <v>33</v>
      </c>
      <c r="BB3" s="184" t="s">
        <v>33</v>
      </c>
      <c r="BC3" s="184" t="s">
        <v>33</v>
      </c>
      <c r="BD3" s="184" t="s">
        <v>33</v>
      </c>
      <c r="BE3" s="184" t="s">
        <v>33</v>
      </c>
      <c r="BF3" s="184" t="s">
        <v>33</v>
      </c>
      <c r="BG3" s="184" t="s">
        <v>33</v>
      </c>
      <c r="BH3" s="184" t="s">
        <v>33</v>
      </c>
      <c r="BI3" s="184" t="s">
        <v>33</v>
      </c>
      <c r="BJ3" s="184" t="s">
        <v>33</v>
      </c>
      <c r="BK3" s="184" t="s">
        <v>33</v>
      </c>
      <c r="BL3" s="184" t="s">
        <v>33</v>
      </c>
      <c r="BM3" s="184" t="s">
        <v>33</v>
      </c>
      <c r="BN3" s="184" t="s">
        <v>33</v>
      </c>
      <c r="BO3" s="184" t="s">
        <v>33</v>
      </c>
      <c r="BP3" s="184" t="s">
        <v>33</v>
      </c>
      <c r="BQ3" s="184" t="s">
        <v>33</v>
      </c>
      <c r="BR3" s="184" t="s">
        <v>33</v>
      </c>
      <c r="BS3" s="184" t="s">
        <v>33</v>
      </c>
      <c r="BT3" s="184" t="s">
        <v>33</v>
      </c>
      <c r="BU3" s="184" t="s">
        <v>33</v>
      </c>
      <c r="BV3" s="186" t="s">
        <v>33</v>
      </c>
      <c r="BW3" s="186" t="s">
        <v>33</v>
      </c>
      <c r="BX3" s="186" t="s">
        <v>33</v>
      </c>
      <c r="BY3" s="186" t="s">
        <v>33</v>
      </c>
      <c r="BZ3" s="186" t="s">
        <v>33</v>
      </c>
      <c r="CA3" s="186" t="s">
        <v>33</v>
      </c>
      <c r="CB3" s="186" t="s">
        <v>33</v>
      </c>
      <c r="CC3" s="186" t="s">
        <v>33</v>
      </c>
      <c r="CD3" s="186" t="s">
        <v>33</v>
      </c>
      <c r="CE3" s="186" t="s">
        <v>33</v>
      </c>
      <c r="CF3" s="186" t="s">
        <v>33</v>
      </c>
      <c r="CG3" s="186" t="s">
        <v>33</v>
      </c>
      <c r="CH3" s="186" t="s">
        <v>33</v>
      </c>
      <c r="CI3" s="186" t="s">
        <v>33</v>
      </c>
      <c r="CJ3" s="186" t="s">
        <v>33</v>
      </c>
      <c r="CK3" s="186" t="s">
        <v>33</v>
      </c>
      <c r="CL3" s="186" t="s">
        <v>33</v>
      </c>
      <c r="CM3" s="187" t="s">
        <v>33</v>
      </c>
      <c r="CN3" s="187" t="s">
        <v>33</v>
      </c>
      <c r="CO3" s="187" t="s">
        <v>33</v>
      </c>
      <c r="CP3" s="69" t="s">
        <v>33</v>
      </c>
      <c r="CQ3" s="69" t="s">
        <v>33</v>
      </c>
      <c r="CR3" s="69" t="s">
        <v>33</v>
      </c>
      <c r="CS3" s="49" t="s">
        <v>33</v>
      </c>
      <c r="CT3" s="49" t="s">
        <v>33</v>
      </c>
      <c r="CU3" s="49" t="s">
        <v>33</v>
      </c>
      <c r="CV3" s="170" t="s">
        <v>33</v>
      </c>
      <c r="CW3" s="170" t="s">
        <v>33</v>
      </c>
      <c r="CX3" s="49" t="s">
        <v>33</v>
      </c>
      <c r="CY3" s="49" t="s">
        <v>33</v>
      </c>
      <c r="CZ3" s="49" t="s">
        <v>33</v>
      </c>
      <c r="DA3" s="49" t="s">
        <v>33</v>
      </c>
      <c r="DB3" s="49" t="s">
        <v>33</v>
      </c>
      <c r="DC3" s="49" t="s">
        <v>33</v>
      </c>
      <c r="DD3" s="49" t="s">
        <v>33</v>
      </c>
      <c r="DE3" s="49" t="s">
        <v>33</v>
      </c>
      <c r="DF3" s="49" t="s">
        <v>33</v>
      </c>
      <c r="DG3" s="49" t="s">
        <v>33</v>
      </c>
      <c r="DH3" s="49" t="s">
        <v>33</v>
      </c>
      <c r="DI3" s="49" t="s">
        <v>33</v>
      </c>
      <c r="DJ3" s="49" t="s">
        <v>33</v>
      </c>
      <c r="DK3" s="49" t="s">
        <v>33</v>
      </c>
      <c r="DL3" s="49" t="s">
        <v>33</v>
      </c>
      <c r="DM3" s="49" t="s">
        <v>33</v>
      </c>
      <c r="DN3" s="49" t="s">
        <v>37</v>
      </c>
      <c r="DO3" s="49" t="s">
        <v>37</v>
      </c>
      <c r="DP3" s="49" t="s">
        <v>37</v>
      </c>
      <c r="DQ3" s="49" t="s">
        <v>33</v>
      </c>
      <c r="DR3" s="49" t="s">
        <v>33</v>
      </c>
      <c r="DS3" s="49" t="s">
        <v>37</v>
      </c>
      <c r="DT3" s="49" t="s">
        <v>37</v>
      </c>
      <c r="DU3" s="49" t="s">
        <v>33</v>
      </c>
      <c r="DV3" s="49" t="s">
        <v>33</v>
      </c>
      <c r="DW3" s="170" t="s">
        <v>33</v>
      </c>
      <c r="DX3" s="49" t="s">
        <v>33</v>
      </c>
      <c r="DY3" s="49" t="s">
        <v>33</v>
      </c>
      <c r="DZ3" s="49" t="s">
        <v>33</v>
      </c>
      <c r="EA3" s="49" t="s">
        <v>33</v>
      </c>
      <c r="EB3" s="49" t="s">
        <v>33</v>
      </c>
      <c r="EC3" s="49" t="s">
        <v>33</v>
      </c>
      <c r="ED3" s="49" t="s">
        <v>33</v>
      </c>
      <c r="EE3" s="49" t="s">
        <v>33</v>
      </c>
      <c r="EF3" s="49" t="s">
        <v>33</v>
      </c>
      <c r="EG3" s="49" t="s">
        <v>33</v>
      </c>
      <c r="EH3" s="49" t="s">
        <v>33</v>
      </c>
      <c r="EI3" s="49" t="s">
        <v>33</v>
      </c>
      <c r="EJ3" s="49" t="s">
        <v>33</v>
      </c>
      <c r="EK3" s="49" t="s">
        <v>33</v>
      </c>
      <c r="EL3" s="49" t="s">
        <v>33</v>
      </c>
      <c r="EM3" s="49" t="s">
        <v>33</v>
      </c>
      <c r="EN3" s="49" t="s">
        <v>33</v>
      </c>
      <c r="EO3" s="49" t="s">
        <v>33</v>
      </c>
      <c r="EP3" s="49" t="s">
        <v>33</v>
      </c>
      <c r="EQ3" s="49" t="s">
        <v>33</v>
      </c>
      <c r="ER3" s="49" t="s">
        <v>33</v>
      </c>
      <c r="ES3" s="49" t="s">
        <v>33</v>
      </c>
      <c r="ET3" s="49" t="s">
        <v>33</v>
      </c>
      <c r="EU3" s="170" t="s">
        <v>33</v>
      </c>
      <c r="EV3" s="49" t="s">
        <v>33</v>
      </c>
      <c r="EW3" s="49" t="s">
        <v>33</v>
      </c>
      <c r="EX3" s="49" t="s">
        <v>33</v>
      </c>
      <c r="EY3" s="49" t="s">
        <v>33</v>
      </c>
      <c r="EZ3" s="49" t="s">
        <v>33</v>
      </c>
      <c r="FA3" s="49" t="s">
        <v>33</v>
      </c>
      <c r="FB3" s="49" t="s">
        <v>33</v>
      </c>
      <c r="FC3" s="49" t="s">
        <v>33</v>
      </c>
      <c r="FD3" s="49" t="s">
        <v>33</v>
      </c>
      <c r="FE3" s="13" t="s">
        <v>33</v>
      </c>
      <c r="FF3" s="13" t="s">
        <v>33</v>
      </c>
      <c r="FG3" s="13" t="s">
        <v>33</v>
      </c>
      <c r="FH3" s="13" t="s">
        <v>33</v>
      </c>
      <c r="FI3" s="49" t="s">
        <v>33</v>
      </c>
      <c r="FJ3" s="49" t="s">
        <v>33</v>
      </c>
      <c r="FK3" s="49" t="s">
        <v>33</v>
      </c>
      <c r="FL3" s="49" t="s">
        <v>33</v>
      </c>
      <c r="FM3" s="49" t="s">
        <v>33</v>
      </c>
      <c r="FN3" s="49" t="s">
        <v>33</v>
      </c>
      <c r="FO3" s="49" t="s">
        <v>33</v>
      </c>
      <c r="FP3" s="49" t="s">
        <v>33</v>
      </c>
      <c r="FQ3" s="49" t="s">
        <v>33</v>
      </c>
      <c r="FR3" s="49" t="s">
        <v>33</v>
      </c>
      <c r="FS3" s="49" t="s">
        <v>33</v>
      </c>
      <c r="FT3" s="49" t="s">
        <v>33</v>
      </c>
      <c r="FU3" s="49" t="s">
        <v>33</v>
      </c>
      <c r="FV3" s="49" t="s">
        <v>33</v>
      </c>
      <c r="FW3" s="49" t="s">
        <v>33</v>
      </c>
      <c r="FX3" s="49" t="s">
        <v>33</v>
      </c>
      <c r="FY3" s="49" t="s">
        <v>33</v>
      </c>
      <c r="FZ3" s="49" t="s">
        <v>33</v>
      </c>
      <c r="GA3" s="49" t="s">
        <v>33</v>
      </c>
      <c r="GB3" s="49" t="s">
        <v>33</v>
      </c>
      <c r="GC3" s="49" t="s">
        <v>33</v>
      </c>
      <c r="GD3" s="13" t="s">
        <v>33</v>
      </c>
      <c r="GE3" s="13" t="s">
        <v>33</v>
      </c>
      <c r="GF3" s="13" t="s">
        <v>33</v>
      </c>
      <c r="GG3" s="13" t="s">
        <v>33</v>
      </c>
      <c r="GH3" s="13" t="s">
        <v>33</v>
      </c>
      <c r="GI3" s="13" t="s">
        <v>33</v>
      </c>
      <c r="GJ3" s="13" t="s">
        <v>33</v>
      </c>
      <c r="GK3" s="13"/>
      <c r="GL3" s="13"/>
      <c r="GM3" s="13"/>
      <c r="GN3" s="13"/>
      <c r="GO3" s="13"/>
    </row>
    <row r="4" customFormat="false" ht="15.75" hidden="false" customHeight="false" outlineLevel="0" collapsed="false">
      <c r="A4" s="20" t="s">
        <v>84</v>
      </c>
      <c r="B4" s="37"/>
      <c r="C4" s="37"/>
      <c r="D4" s="37"/>
      <c r="E4" s="37"/>
      <c r="F4" s="37"/>
      <c r="G4" s="37"/>
      <c r="H4" s="37"/>
      <c r="I4" s="37"/>
      <c r="J4" s="37"/>
      <c r="K4" s="37"/>
      <c r="L4" s="37"/>
      <c r="M4" s="37"/>
      <c r="N4" s="37"/>
      <c r="O4" s="37"/>
      <c r="P4" s="37"/>
      <c r="Q4" s="37"/>
      <c r="R4" s="37"/>
      <c r="S4" s="37"/>
      <c r="T4" s="37"/>
      <c r="U4" s="37"/>
      <c r="V4" s="20"/>
      <c r="W4" s="20"/>
      <c r="X4" s="20"/>
      <c r="Y4" s="20"/>
      <c r="Z4" s="20"/>
      <c r="AA4" s="45" t="s">
        <v>37</v>
      </c>
      <c r="AB4" s="184" t="s">
        <v>33</v>
      </c>
      <c r="AC4" s="184" t="s">
        <v>33</v>
      </c>
      <c r="AD4" s="184" t="s">
        <v>33</v>
      </c>
      <c r="AE4" s="184" t="s">
        <v>33</v>
      </c>
      <c r="AF4" s="184" t="s">
        <v>33</v>
      </c>
      <c r="AG4" s="184" t="s">
        <v>33</v>
      </c>
      <c r="AH4" s="184" t="s">
        <v>33</v>
      </c>
      <c r="AI4" s="184" t="s">
        <v>33</v>
      </c>
      <c r="AJ4" s="184" t="s">
        <v>33</v>
      </c>
      <c r="AK4" s="184" t="s">
        <v>33</v>
      </c>
      <c r="AL4" s="45" t="s">
        <v>37</v>
      </c>
      <c r="AM4" s="184" t="s">
        <v>33</v>
      </c>
      <c r="AN4" s="184" t="s">
        <v>33</v>
      </c>
      <c r="AO4" s="184" t="s">
        <v>33</v>
      </c>
      <c r="AP4" s="188" t="s">
        <v>33</v>
      </c>
      <c r="AQ4" s="184" t="s">
        <v>33</v>
      </c>
      <c r="AR4" s="184" t="s">
        <v>33</v>
      </c>
      <c r="AS4" s="184" t="s">
        <v>33</v>
      </c>
      <c r="AT4" s="185" t="s">
        <v>37</v>
      </c>
      <c r="AU4" s="184" t="s">
        <v>33</v>
      </c>
      <c r="AV4" s="184" t="s">
        <v>33</v>
      </c>
      <c r="AW4" s="184" t="s">
        <v>33</v>
      </c>
      <c r="AX4" s="184" t="s">
        <v>33</v>
      </c>
      <c r="AY4" s="184" t="s">
        <v>33</v>
      </c>
      <c r="AZ4" s="184" t="s">
        <v>33</v>
      </c>
      <c r="BA4" s="184" t="s">
        <v>33</v>
      </c>
      <c r="BB4" s="184" t="s">
        <v>33</v>
      </c>
      <c r="BC4" s="184" t="s">
        <v>33</v>
      </c>
      <c r="BD4" s="184" t="s">
        <v>33</v>
      </c>
      <c r="BE4" s="184" t="s">
        <v>33</v>
      </c>
      <c r="BF4" s="184" t="s">
        <v>33</v>
      </c>
      <c r="BG4" s="184" t="s">
        <v>33</v>
      </c>
      <c r="BH4" s="184" t="s">
        <v>33</v>
      </c>
      <c r="BI4" s="189" t="s">
        <v>41</v>
      </c>
      <c r="BJ4" s="190" t="s">
        <v>41</v>
      </c>
      <c r="BK4" s="185" t="s">
        <v>37</v>
      </c>
      <c r="BL4" s="184" t="s">
        <v>33</v>
      </c>
      <c r="BM4" s="184" t="s">
        <v>33</v>
      </c>
      <c r="BN4" s="184" t="s">
        <v>33</v>
      </c>
      <c r="BO4" s="184" t="s">
        <v>33</v>
      </c>
      <c r="BP4" s="184" t="s">
        <v>33</v>
      </c>
      <c r="BQ4" s="184" t="s">
        <v>33</v>
      </c>
      <c r="BR4" s="184" t="s">
        <v>33</v>
      </c>
      <c r="BS4" s="184" t="s">
        <v>33</v>
      </c>
      <c r="BT4" s="184" t="s">
        <v>33</v>
      </c>
      <c r="BU4" s="184" t="s">
        <v>33</v>
      </c>
      <c r="BV4" s="184" t="s">
        <v>33</v>
      </c>
      <c r="BW4" s="184" t="s">
        <v>33</v>
      </c>
      <c r="BX4" s="184" t="s">
        <v>33</v>
      </c>
      <c r="BY4" s="184" t="s">
        <v>33</v>
      </c>
      <c r="BZ4" s="184" t="s">
        <v>33</v>
      </c>
      <c r="CA4" s="184" t="s">
        <v>33</v>
      </c>
      <c r="CB4" s="184" t="s">
        <v>33</v>
      </c>
      <c r="CC4" s="184" t="s">
        <v>33</v>
      </c>
      <c r="CD4" s="184" t="s">
        <v>33</v>
      </c>
      <c r="CE4" s="184" t="s">
        <v>33</v>
      </c>
      <c r="CF4" s="184" t="s">
        <v>33</v>
      </c>
      <c r="CG4" s="184" t="s">
        <v>33</v>
      </c>
      <c r="CH4" s="184" t="s">
        <v>33</v>
      </c>
      <c r="CI4" s="184" t="s">
        <v>33</v>
      </c>
      <c r="CJ4" s="184" t="s">
        <v>33</v>
      </c>
      <c r="CK4" s="184" t="s">
        <v>33</v>
      </c>
      <c r="CL4" s="184" t="s">
        <v>33</v>
      </c>
      <c r="CM4" s="191" t="s">
        <v>33</v>
      </c>
      <c r="CN4" s="191" t="s">
        <v>33</v>
      </c>
      <c r="CO4" s="191" t="s">
        <v>33</v>
      </c>
      <c r="CP4" s="13" t="s">
        <v>33</v>
      </c>
      <c r="CQ4" s="13" t="s">
        <v>33</v>
      </c>
      <c r="CR4" s="13" t="s">
        <v>33</v>
      </c>
      <c r="CS4" s="13" t="s">
        <v>33</v>
      </c>
      <c r="CT4" s="13" t="s">
        <v>33</v>
      </c>
      <c r="CU4" s="13" t="s">
        <v>33</v>
      </c>
      <c r="CV4" s="170" t="s">
        <v>33</v>
      </c>
      <c r="CW4" s="170" t="s">
        <v>33</v>
      </c>
      <c r="CX4" s="49" t="s">
        <v>33</v>
      </c>
      <c r="CY4" s="49" t="s">
        <v>33</v>
      </c>
      <c r="CZ4" s="49" t="s">
        <v>33</v>
      </c>
      <c r="DA4" s="49" t="s">
        <v>33</v>
      </c>
      <c r="DB4" s="49" t="s">
        <v>33</v>
      </c>
      <c r="DC4" s="49" t="s">
        <v>33</v>
      </c>
      <c r="DD4" s="49" t="s">
        <v>33</v>
      </c>
      <c r="DE4" s="49" t="s">
        <v>33</v>
      </c>
      <c r="DF4" s="49" t="s">
        <v>33</v>
      </c>
      <c r="DG4" s="49" t="s">
        <v>33</v>
      </c>
      <c r="DH4" s="49" t="s">
        <v>33</v>
      </c>
      <c r="DI4" s="49" t="s">
        <v>33</v>
      </c>
      <c r="DJ4" s="49" t="s">
        <v>33</v>
      </c>
      <c r="DK4" s="49" t="s">
        <v>33</v>
      </c>
      <c r="DL4" s="49" t="s">
        <v>37</v>
      </c>
      <c r="DM4" s="49" t="s">
        <v>33</v>
      </c>
      <c r="DN4" s="49" t="s">
        <v>33</v>
      </c>
      <c r="DO4" s="49" t="s">
        <v>33</v>
      </c>
      <c r="DP4" s="49" t="s">
        <v>33</v>
      </c>
      <c r="DQ4" s="49" t="s">
        <v>33</v>
      </c>
      <c r="DR4" s="49" t="s">
        <v>33</v>
      </c>
      <c r="DS4" s="49" t="s">
        <v>33</v>
      </c>
      <c r="DT4" s="49" t="s">
        <v>33</v>
      </c>
      <c r="DU4" s="49" t="s">
        <v>33</v>
      </c>
      <c r="DV4" s="49" t="s">
        <v>33</v>
      </c>
      <c r="DW4" s="170" t="s">
        <v>33</v>
      </c>
      <c r="DX4" s="49" t="s">
        <v>33</v>
      </c>
      <c r="DY4" s="49" t="s">
        <v>33</v>
      </c>
      <c r="DZ4" s="49" t="s">
        <v>33</v>
      </c>
      <c r="EA4" s="49" t="s">
        <v>33</v>
      </c>
      <c r="EB4" s="49" t="s">
        <v>33</v>
      </c>
      <c r="EC4" s="49" t="s">
        <v>33</v>
      </c>
      <c r="ED4" s="49" t="s">
        <v>33</v>
      </c>
      <c r="EE4" s="49" t="s">
        <v>33</v>
      </c>
      <c r="EF4" s="49" t="s">
        <v>33</v>
      </c>
      <c r="EG4" s="49" t="s">
        <v>33</v>
      </c>
      <c r="EH4" s="49" t="s">
        <v>33</v>
      </c>
      <c r="EI4" s="49" t="s">
        <v>33</v>
      </c>
      <c r="EJ4" s="49" t="s">
        <v>33</v>
      </c>
      <c r="EK4" s="49" t="s">
        <v>33</v>
      </c>
      <c r="EL4" s="49" t="s">
        <v>33</v>
      </c>
      <c r="EM4" s="49" t="s">
        <v>33</v>
      </c>
      <c r="EN4" s="49" t="s">
        <v>33</v>
      </c>
      <c r="EO4" s="49" t="s">
        <v>33</v>
      </c>
      <c r="EP4" s="49" t="s">
        <v>33</v>
      </c>
      <c r="EQ4" s="49" t="s">
        <v>33</v>
      </c>
      <c r="ER4" s="49" t="s">
        <v>33</v>
      </c>
      <c r="ES4" s="49" t="s">
        <v>33</v>
      </c>
      <c r="ET4" s="49" t="s">
        <v>33</v>
      </c>
      <c r="EU4" s="170" t="s">
        <v>33</v>
      </c>
      <c r="EV4" s="49" t="s">
        <v>33</v>
      </c>
      <c r="EW4" s="49" t="s">
        <v>33</v>
      </c>
      <c r="EX4" s="49" t="s">
        <v>37</v>
      </c>
      <c r="EY4" s="49" t="s">
        <v>33</v>
      </c>
      <c r="EZ4" s="49" t="s">
        <v>33</v>
      </c>
      <c r="FA4" s="49" t="s">
        <v>33</v>
      </c>
      <c r="FB4" s="49" t="s">
        <v>33</v>
      </c>
      <c r="FC4" s="49" t="s">
        <v>33</v>
      </c>
      <c r="FD4" s="49" t="s">
        <v>33</v>
      </c>
      <c r="FE4" s="13" t="s">
        <v>33</v>
      </c>
      <c r="FF4" s="13" t="s">
        <v>33</v>
      </c>
      <c r="FG4" s="13" t="s">
        <v>33</v>
      </c>
      <c r="FH4" s="13" t="s">
        <v>33</v>
      </c>
      <c r="FI4" s="49" t="s">
        <v>33</v>
      </c>
      <c r="FJ4" s="49" t="s">
        <v>33</v>
      </c>
      <c r="FK4" s="49" t="s">
        <v>33</v>
      </c>
      <c r="FL4" s="49" t="s">
        <v>33</v>
      </c>
      <c r="FM4" s="49" t="s">
        <v>33</v>
      </c>
      <c r="FN4" s="49" t="s">
        <v>33</v>
      </c>
      <c r="FO4" s="49" t="s">
        <v>33</v>
      </c>
      <c r="FP4" s="49" t="s">
        <v>33</v>
      </c>
      <c r="FQ4" s="49" t="s">
        <v>33</v>
      </c>
      <c r="FR4" s="49" t="s">
        <v>33</v>
      </c>
      <c r="FS4" s="49" t="s">
        <v>33</v>
      </c>
      <c r="FT4" s="49" t="s">
        <v>33</v>
      </c>
      <c r="FU4" s="49" t="s">
        <v>33</v>
      </c>
      <c r="FV4" s="49" t="s">
        <v>33</v>
      </c>
      <c r="FW4" s="49" t="s">
        <v>33</v>
      </c>
      <c r="FX4" s="49" t="s">
        <v>33</v>
      </c>
      <c r="FY4" s="49" t="s">
        <v>33</v>
      </c>
      <c r="FZ4" s="49" t="s">
        <v>33</v>
      </c>
      <c r="GA4" s="49" t="s">
        <v>33</v>
      </c>
      <c r="GB4" s="49" t="s">
        <v>33</v>
      </c>
      <c r="GC4" s="49" t="s">
        <v>33</v>
      </c>
      <c r="GD4" s="13" t="s">
        <v>41</v>
      </c>
      <c r="GE4" s="59" t="s">
        <v>841</v>
      </c>
      <c r="GF4" s="13" t="s">
        <v>41</v>
      </c>
      <c r="GG4" s="13" t="s">
        <v>41</v>
      </c>
      <c r="GH4" s="13" t="s">
        <v>41</v>
      </c>
      <c r="GI4" s="13" t="s">
        <v>41</v>
      </c>
      <c r="GJ4" s="13" t="s">
        <v>41</v>
      </c>
      <c r="GK4" s="13"/>
      <c r="GL4" s="13"/>
      <c r="GM4" s="13"/>
      <c r="GN4" s="13"/>
      <c r="GO4" s="13"/>
    </row>
    <row r="5" customFormat="false" ht="15.75" hidden="true" customHeight="false" outlineLevel="0" collapsed="false">
      <c r="A5" s="33" t="s">
        <v>104</v>
      </c>
      <c r="B5" s="184" t="s">
        <v>33</v>
      </c>
      <c r="C5" s="184" t="s">
        <v>33</v>
      </c>
      <c r="D5" s="184" t="s">
        <v>33</v>
      </c>
      <c r="E5" s="184" t="s">
        <v>33</v>
      </c>
      <c r="F5" s="184" t="s">
        <v>33</v>
      </c>
      <c r="G5" s="184" t="s">
        <v>33</v>
      </c>
      <c r="H5" s="184" t="s">
        <v>33</v>
      </c>
      <c r="I5" s="45" t="s">
        <v>37</v>
      </c>
      <c r="J5" s="45" t="s">
        <v>37</v>
      </c>
      <c r="K5" s="184" t="s">
        <v>33</v>
      </c>
      <c r="L5" s="184" t="s">
        <v>33</v>
      </c>
      <c r="M5" s="184" t="s">
        <v>33</v>
      </c>
      <c r="N5" s="184" t="s">
        <v>33</v>
      </c>
      <c r="O5" s="45" t="s">
        <v>37</v>
      </c>
      <c r="P5" s="45" t="s">
        <v>842</v>
      </c>
      <c r="Q5" s="45" t="s">
        <v>37</v>
      </c>
      <c r="R5" s="184" t="s">
        <v>33</v>
      </c>
      <c r="S5" s="45" t="s">
        <v>37</v>
      </c>
      <c r="T5" s="184" t="s">
        <v>33</v>
      </c>
      <c r="U5" s="184" t="s">
        <v>33</v>
      </c>
      <c r="V5" s="184" t="s">
        <v>33</v>
      </c>
      <c r="W5" s="184" t="s">
        <v>33</v>
      </c>
      <c r="X5" s="184" t="s">
        <v>33</v>
      </c>
      <c r="Y5" s="184" t="s">
        <v>33</v>
      </c>
      <c r="Z5" s="184" t="s">
        <v>33</v>
      </c>
      <c r="AA5" s="45" t="s">
        <v>37</v>
      </c>
      <c r="AB5" s="184" t="s">
        <v>33</v>
      </c>
      <c r="AC5" s="184" t="s">
        <v>33</v>
      </c>
      <c r="AD5" s="184" t="s">
        <v>33</v>
      </c>
      <c r="AE5" s="184" t="s">
        <v>33</v>
      </c>
      <c r="AF5" s="45" t="s">
        <v>37</v>
      </c>
      <c r="AG5" s="184" t="s">
        <v>33</v>
      </c>
      <c r="AH5" s="184" t="s">
        <v>33</v>
      </c>
      <c r="AI5" s="45" t="s">
        <v>37</v>
      </c>
      <c r="AJ5" s="45" t="s">
        <v>37</v>
      </c>
      <c r="AK5" s="45" t="s">
        <v>37</v>
      </c>
      <c r="AL5" s="45" t="s">
        <v>37</v>
      </c>
      <c r="AM5" s="184" t="s">
        <v>33</v>
      </c>
      <c r="AN5" s="45" t="s">
        <v>37</v>
      </c>
      <c r="AO5" s="185" t="s">
        <v>37</v>
      </c>
      <c r="AP5" s="29" t="s">
        <v>41</v>
      </c>
      <c r="AQ5" s="189" t="s">
        <v>41</v>
      </c>
      <c r="AR5" s="189" t="s">
        <v>41</v>
      </c>
      <c r="AS5" s="189" t="s">
        <v>41</v>
      </c>
      <c r="AT5" s="29" t="s">
        <v>41</v>
      </c>
      <c r="AU5" s="189" t="s">
        <v>41</v>
      </c>
      <c r="AV5" s="184" t="s">
        <v>33</v>
      </c>
      <c r="AW5" s="184" t="s">
        <v>33</v>
      </c>
      <c r="AX5" s="184" t="s">
        <v>33</v>
      </c>
      <c r="AY5" s="185" t="s">
        <v>37</v>
      </c>
      <c r="AZ5" s="184" t="s">
        <v>33</v>
      </c>
      <c r="BA5" s="184" t="s">
        <v>33</v>
      </c>
      <c r="BB5" s="184" t="s">
        <v>33</v>
      </c>
      <c r="BC5" s="184" t="s">
        <v>33</v>
      </c>
      <c r="BD5" s="184" t="s">
        <v>33</v>
      </c>
      <c r="BE5" s="184" t="s">
        <v>33</v>
      </c>
      <c r="BF5" s="184" t="s">
        <v>33</v>
      </c>
      <c r="BG5" s="185" t="s">
        <v>37</v>
      </c>
      <c r="BH5" s="184" t="s">
        <v>33</v>
      </c>
      <c r="BI5" s="184" t="s">
        <v>33</v>
      </c>
      <c r="BJ5" s="189" t="s">
        <v>41</v>
      </c>
      <c r="BK5" s="189" t="s">
        <v>41</v>
      </c>
      <c r="BL5" s="29" t="s">
        <v>41</v>
      </c>
      <c r="BM5" s="29" t="s">
        <v>41</v>
      </c>
      <c r="BN5" s="189" t="s">
        <v>41</v>
      </c>
      <c r="BO5" s="189" t="s">
        <v>41</v>
      </c>
      <c r="BP5" s="189" t="s">
        <v>41</v>
      </c>
      <c r="BQ5" s="189" t="s">
        <v>41</v>
      </c>
      <c r="BR5" s="189" t="s">
        <v>41</v>
      </c>
      <c r="BS5" s="189" t="s">
        <v>41</v>
      </c>
      <c r="BT5" s="189" t="s">
        <v>41</v>
      </c>
      <c r="BU5" s="189" t="s">
        <v>41</v>
      </c>
      <c r="BV5" s="189" t="s">
        <v>41</v>
      </c>
      <c r="BW5" s="189" t="s">
        <v>41</v>
      </c>
      <c r="BX5" s="189" t="s">
        <v>41</v>
      </c>
      <c r="BY5" s="189" t="s">
        <v>41</v>
      </c>
      <c r="BZ5" s="189" t="s">
        <v>41</v>
      </c>
      <c r="CA5" s="189" t="s">
        <v>41</v>
      </c>
      <c r="CB5" s="189" t="s">
        <v>41</v>
      </c>
      <c r="CC5" s="189" t="s">
        <v>41</v>
      </c>
      <c r="CD5" s="189" t="s">
        <v>41</v>
      </c>
      <c r="CE5" s="189" t="s">
        <v>41</v>
      </c>
      <c r="CF5" s="189" t="s">
        <v>41</v>
      </c>
      <c r="CG5" s="189" t="s">
        <v>41</v>
      </c>
      <c r="CH5" s="189" t="s">
        <v>41</v>
      </c>
      <c r="CI5" s="189" t="s">
        <v>41</v>
      </c>
      <c r="CJ5" s="189" t="s">
        <v>41</v>
      </c>
      <c r="CK5" s="189" t="s">
        <v>41</v>
      </c>
      <c r="CL5" s="189" t="s">
        <v>41</v>
      </c>
      <c r="CM5" s="189" t="s">
        <v>41</v>
      </c>
      <c r="CN5" s="189" t="s">
        <v>41</v>
      </c>
      <c r="CO5" s="189" t="s">
        <v>41</v>
      </c>
      <c r="CP5" s="189" t="s">
        <v>41</v>
      </c>
      <c r="CQ5" s="189" t="s">
        <v>41</v>
      </c>
      <c r="CR5" s="189" t="s">
        <v>41</v>
      </c>
      <c r="CS5" s="189" t="s">
        <v>41</v>
      </c>
      <c r="CT5" s="189" t="s">
        <v>41</v>
      </c>
      <c r="CU5" s="189" t="s">
        <v>41</v>
      </c>
      <c r="CV5" s="189" t="s">
        <v>41</v>
      </c>
      <c r="CW5" s="189" t="s">
        <v>41</v>
      </c>
      <c r="CX5" s="49" t="s">
        <v>41</v>
      </c>
      <c r="CY5" s="49" t="s">
        <v>41</v>
      </c>
      <c r="CZ5" s="49" t="s">
        <v>41</v>
      </c>
      <c r="DA5" s="49" t="s">
        <v>41</v>
      </c>
      <c r="DB5" s="49" t="s">
        <v>41</v>
      </c>
      <c r="DC5" s="49" t="s">
        <v>41</v>
      </c>
      <c r="DD5" s="49" t="s">
        <v>41</v>
      </c>
      <c r="DE5" s="49" t="s">
        <v>41</v>
      </c>
      <c r="DF5" s="49" t="s">
        <v>41</v>
      </c>
      <c r="DG5" s="49" t="s">
        <v>41</v>
      </c>
      <c r="DH5" s="170" t="s">
        <v>47</v>
      </c>
      <c r="DI5" s="49" t="s">
        <v>47</v>
      </c>
      <c r="DJ5" s="49" t="s">
        <v>47</v>
      </c>
      <c r="DK5" s="49" t="s">
        <v>47</v>
      </c>
      <c r="DL5" s="49" t="s">
        <v>47</v>
      </c>
      <c r="DM5" s="49" t="s">
        <v>47</v>
      </c>
      <c r="DN5" s="49" t="s">
        <v>47</v>
      </c>
      <c r="DO5" s="49" t="s">
        <v>47</v>
      </c>
      <c r="DP5" s="49" t="s">
        <v>47</v>
      </c>
      <c r="DQ5" s="49" t="s">
        <v>47</v>
      </c>
      <c r="DR5" s="49" t="s">
        <v>47</v>
      </c>
      <c r="DS5" s="49" t="s">
        <v>47</v>
      </c>
      <c r="DT5" s="49" t="s">
        <v>47</v>
      </c>
      <c r="DU5" s="49" t="s">
        <v>47</v>
      </c>
      <c r="DV5" s="49" t="s">
        <v>47</v>
      </c>
      <c r="DW5" s="49" t="s">
        <v>47</v>
      </c>
      <c r="DX5" s="49" t="s">
        <v>47</v>
      </c>
      <c r="DY5" s="49" t="s">
        <v>47</v>
      </c>
      <c r="DZ5" s="49" t="s">
        <v>47</v>
      </c>
      <c r="EA5" s="49" t="s">
        <v>47</v>
      </c>
      <c r="EB5" s="49" t="s">
        <v>47</v>
      </c>
      <c r="EC5" s="49" t="s">
        <v>47</v>
      </c>
      <c r="ED5" s="49" t="s">
        <v>47</v>
      </c>
      <c r="EE5" s="49" t="s">
        <v>47</v>
      </c>
      <c r="EF5" s="49" t="s">
        <v>47</v>
      </c>
      <c r="EG5" s="49" t="s">
        <v>47</v>
      </c>
      <c r="EH5" s="49" t="s">
        <v>47</v>
      </c>
      <c r="EI5" s="49" t="s">
        <v>47</v>
      </c>
      <c r="EJ5" s="49" t="s">
        <v>47</v>
      </c>
      <c r="EK5" s="49" t="s">
        <v>47</v>
      </c>
      <c r="EL5" s="49" t="s">
        <v>47</v>
      </c>
      <c r="EM5" s="49" t="s">
        <v>47</v>
      </c>
      <c r="EN5" s="49" t="s">
        <v>47</v>
      </c>
      <c r="EO5" s="49" t="s">
        <v>47</v>
      </c>
      <c r="EP5" s="49" t="s">
        <v>47</v>
      </c>
      <c r="EQ5" s="49" t="s">
        <v>47</v>
      </c>
      <c r="ER5" s="49" t="s">
        <v>47</v>
      </c>
      <c r="ES5" s="49" t="s">
        <v>47</v>
      </c>
      <c r="ET5" s="170" t="s">
        <v>47</v>
      </c>
      <c r="EU5" s="170" t="s">
        <v>47</v>
      </c>
      <c r="EV5" s="49" t="s">
        <v>47</v>
      </c>
      <c r="EW5" s="49" t="s">
        <v>47</v>
      </c>
      <c r="EX5" s="49" t="s">
        <v>47</v>
      </c>
      <c r="EY5" s="49" t="s">
        <v>47</v>
      </c>
      <c r="EZ5" s="49" t="s">
        <v>47</v>
      </c>
      <c r="FA5" s="49" t="s">
        <v>47</v>
      </c>
      <c r="FB5" s="49" t="s">
        <v>47</v>
      </c>
      <c r="FC5" s="49" t="s">
        <v>47</v>
      </c>
      <c r="FD5" s="49" t="s">
        <v>47</v>
      </c>
      <c r="FE5" s="49" t="s">
        <v>47</v>
      </c>
      <c r="FF5" s="49" t="s">
        <v>47</v>
      </c>
      <c r="FG5" s="49" t="s">
        <v>47</v>
      </c>
      <c r="FH5" s="49" t="s">
        <v>47</v>
      </c>
      <c r="FI5" s="49" t="s">
        <v>47</v>
      </c>
      <c r="FJ5" s="49" t="s">
        <v>47</v>
      </c>
      <c r="FK5" s="49" t="s">
        <v>47</v>
      </c>
      <c r="FL5" s="49" t="s">
        <v>47</v>
      </c>
      <c r="FM5" s="49" t="s">
        <v>47</v>
      </c>
      <c r="FN5" s="49" t="s">
        <v>47</v>
      </c>
      <c r="FO5" s="49" t="s">
        <v>47</v>
      </c>
      <c r="FP5" s="49" t="s">
        <v>47</v>
      </c>
      <c r="FQ5" s="49" t="s">
        <v>47</v>
      </c>
      <c r="FR5" s="49" t="s">
        <v>47</v>
      </c>
      <c r="FS5" s="49" t="s">
        <v>47</v>
      </c>
      <c r="FT5" s="49" t="s">
        <v>47</v>
      </c>
      <c r="FU5" s="49" t="s">
        <v>47</v>
      </c>
      <c r="FV5" s="49" t="s">
        <v>47</v>
      </c>
      <c r="FW5" s="13"/>
      <c r="FX5" s="13"/>
      <c r="FY5" s="13"/>
      <c r="FZ5" s="13"/>
      <c r="GA5" s="13"/>
      <c r="GB5" s="13"/>
      <c r="GC5" s="13"/>
      <c r="GD5" s="13"/>
      <c r="GE5" s="13"/>
      <c r="GF5" s="13"/>
      <c r="GG5" s="13"/>
      <c r="GH5" s="13"/>
      <c r="GI5" s="13"/>
      <c r="GJ5" s="13"/>
      <c r="GK5" s="13"/>
      <c r="GL5" s="13"/>
      <c r="GM5" s="13"/>
      <c r="GN5" s="13"/>
      <c r="GO5" s="13"/>
    </row>
    <row r="6" customFormat="false" ht="15.75" hidden="false" customHeight="false" outlineLevel="0" collapsed="false">
      <c r="A6" s="37" t="s">
        <v>111</v>
      </c>
      <c r="B6" s="184" t="s">
        <v>33</v>
      </c>
      <c r="C6" s="184" t="s">
        <v>33</v>
      </c>
      <c r="D6" s="184" t="s">
        <v>33</v>
      </c>
      <c r="E6" s="184" t="s">
        <v>33</v>
      </c>
      <c r="F6" s="184" t="s">
        <v>33</v>
      </c>
      <c r="G6" s="184" t="s">
        <v>33</v>
      </c>
      <c r="H6" s="184" t="s">
        <v>33</v>
      </c>
      <c r="I6" s="184" t="s">
        <v>33</v>
      </c>
      <c r="J6" s="184" t="s">
        <v>33</v>
      </c>
      <c r="K6" s="184" t="s">
        <v>33</v>
      </c>
      <c r="L6" s="184" t="s">
        <v>33</v>
      </c>
      <c r="M6" s="184" t="s">
        <v>33</v>
      </c>
      <c r="N6" s="184" t="s">
        <v>33</v>
      </c>
      <c r="O6" s="184" t="s">
        <v>33</v>
      </c>
      <c r="P6" s="184" t="s">
        <v>33</v>
      </c>
      <c r="Q6" s="184" t="s">
        <v>33</v>
      </c>
      <c r="R6" s="184" t="s">
        <v>33</v>
      </c>
      <c r="S6" s="184" t="s">
        <v>33</v>
      </c>
      <c r="T6" s="184" t="s">
        <v>33</v>
      </c>
      <c r="U6" s="184" t="s">
        <v>33</v>
      </c>
      <c r="V6" s="184" t="s">
        <v>33</v>
      </c>
      <c r="W6" s="184" t="s">
        <v>33</v>
      </c>
      <c r="X6" s="29" t="s">
        <v>41</v>
      </c>
      <c r="Y6" s="184" t="s">
        <v>33</v>
      </c>
      <c r="Z6" s="184" t="s">
        <v>33</v>
      </c>
      <c r="AA6" s="184" t="s">
        <v>33</v>
      </c>
      <c r="AB6" s="184" t="s">
        <v>33</v>
      </c>
      <c r="AC6" s="184" t="s">
        <v>33</v>
      </c>
      <c r="AD6" s="184" t="s">
        <v>33</v>
      </c>
      <c r="AE6" s="29" t="s">
        <v>41</v>
      </c>
      <c r="AF6" s="184" t="s">
        <v>33</v>
      </c>
      <c r="AG6" s="184" t="s">
        <v>33</v>
      </c>
      <c r="AH6" s="184" t="s">
        <v>33</v>
      </c>
      <c r="AI6" s="184" t="s">
        <v>33</v>
      </c>
      <c r="AJ6" s="184" t="s">
        <v>33</v>
      </c>
      <c r="AK6" s="184" t="s">
        <v>33</v>
      </c>
      <c r="AL6" s="184" t="s">
        <v>33</v>
      </c>
      <c r="AM6" s="184" t="s">
        <v>33</v>
      </c>
      <c r="AN6" s="184" t="s">
        <v>33</v>
      </c>
      <c r="AO6" s="191" t="s">
        <v>33</v>
      </c>
      <c r="AP6" s="29" t="s">
        <v>41</v>
      </c>
      <c r="AQ6" s="192" t="s">
        <v>33</v>
      </c>
      <c r="AR6" s="192" t="s">
        <v>33</v>
      </c>
      <c r="AS6" s="192" t="s">
        <v>33</v>
      </c>
      <c r="AT6" s="192" t="s">
        <v>33</v>
      </c>
      <c r="AU6" s="192" t="s">
        <v>33</v>
      </c>
      <c r="AV6" s="192" t="s">
        <v>33</v>
      </c>
      <c r="AW6" s="184" t="s">
        <v>33</v>
      </c>
      <c r="AX6" s="184" t="s">
        <v>33</v>
      </c>
      <c r="AY6" s="185" t="s">
        <v>37</v>
      </c>
      <c r="AZ6" s="184" t="s">
        <v>33</v>
      </c>
      <c r="BA6" s="184" t="s">
        <v>33</v>
      </c>
      <c r="BB6" s="184" t="s">
        <v>33</v>
      </c>
      <c r="BC6" s="184" t="s">
        <v>33</v>
      </c>
      <c r="BD6" s="184" t="s">
        <v>33</v>
      </c>
      <c r="BE6" s="184" t="s">
        <v>33</v>
      </c>
      <c r="BF6" s="184" t="s">
        <v>33</v>
      </c>
      <c r="BG6" s="184" t="s">
        <v>33</v>
      </c>
      <c r="BH6" s="184" t="s">
        <v>33</v>
      </c>
      <c r="BI6" s="184" t="s">
        <v>33</v>
      </c>
      <c r="BJ6" s="184" t="s">
        <v>33</v>
      </c>
      <c r="BK6" s="184" t="s">
        <v>33</v>
      </c>
      <c r="BL6" s="184" t="s">
        <v>33</v>
      </c>
      <c r="BM6" s="184" t="s">
        <v>33</v>
      </c>
      <c r="BN6" s="184" t="s">
        <v>33</v>
      </c>
      <c r="BO6" s="184" t="s">
        <v>33</v>
      </c>
      <c r="BP6" s="184" t="s">
        <v>33</v>
      </c>
      <c r="BQ6" s="184" t="s">
        <v>33</v>
      </c>
      <c r="BR6" s="184" t="s">
        <v>33</v>
      </c>
      <c r="BS6" s="184" t="s">
        <v>33</v>
      </c>
      <c r="BT6" s="184" t="s">
        <v>33</v>
      </c>
      <c r="BU6" s="184" t="s">
        <v>33</v>
      </c>
      <c r="BV6" s="184" t="s">
        <v>33</v>
      </c>
      <c r="BW6" s="184" t="s">
        <v>33</v>
      </c>
      <c r="BX6" s="184" t="s">
        <v>33</v>
      </c>
      <c r="BY6" s="184" t="s">
        <v>33</v>
      </c>
      <c r="BZ6" s="184" t="s">
        <v>33</v>
      </c>
      <c r="CA6" s="184" t="s">
        <v>33</v>
      </c>
      <c r="CB6" s="184" t="s">
        <v>33</v>
      </c>
      <c r="CC6" s="184" t="s">
        <v>33</v>
      </c>
      <c r="CD6" s="184" t="s">
        <v>33</v>
      </c>
      <c r="CE6" s="184" t="s">
        <v>33</v>
      </c>
      <c r="CF6" s="184" t="s">
        <v>33</v>
      </c>
      <c r="CG6" s="184" t="s">
        <v>33</v>
      </c>
      <c r="CH6" s="184" t="s">
        <v>33</v>
      </c>
      <c r="CI6" s="184" t="s">
        <v>33</v>
      </c>
      <c r="CJ6" s="184" t="s">
        <v>33</v>
      </c>
      <c r="CK6" s="184" t="s">
        <v>33</v>
      </c>
      <c r="CL6" s="184" t="s">
        <v>33</v>
      </c>
      <c r="CM6" s="191" t="s">
        <v>33</v>
      </c>
      <c r="CN6" s="191" t="s">
        <v>33</v>
      </c>
      <c r="CO6" s="191" t="s">
        <v>33</v>
      </c>
      <c r="CP6" s="13" t="s">
        <v>33</v>
      </c>
      <c r="CQ6" s="13" t="s">
        <v>33</v>
      </c>
      <c r="CR6" s="13" t="s">
        <v>33</v>
      </c>
      <c r="CS6" s="49" t="s">
        <v>33</v>
      </c>
      <c r="CT6" s="49" t="s">
        <v>33</v>
      </c>
      <c r="CU6" s="49" t="s">
        <v>33</v>
      </c>
      <c r="CV6" s="170" t="s">
        <v>33</v>
      </c>
      <c r="CW6" s="170" t="s">
        <v>33</v>
      </c>
      <c r="CX6" s="49" t="s">
        <v>33</v>
      </c>
      <c r="CY6" s="49" t="s">
        <v>33</v>
      </c>
      <c r="CZ6" s="49" t="s">
        <v>33</v>
      </c>
      <c r="DA6" s="49" t="s">
        <v>33</v>
      </c>
      <c r="DB6" s="49" t="s">
        <v>33</v>
      </c>
      <c r="DC6" s="49" t="s">
        <v>33</v>
      </c>
      <c r="DD6" s="49" t="s">
        <v>33</v>
      </c>
      <c r="DE6" s="49" t="s">
        <v>33</v>
      </c>
      <c r="DF6" s="49" t="s">
        <v>33</v>
      </c>
      <c r="DG6" s="49" t="s">
        <v>33</v>
      </c>
      <c r="DH6" s="49" t="s">
        <v>33</v>
      </c>
      <c r="DI6" s="49" t="s">
        <v>33</v>
      </c>
      <c r="DJ6" s="49" t="s">
        <v>33</v>
      </c>
      <c r="DK6" s="49" t="s">
        <v>33</v>
      </c>
      <c r="DL6" s="49" t="s">
        <v>33</v>
      </c>
      <c r="DM6" s="49" t="s">
        <v>33</v>
      </c>
      <c r="DN6" s="49" t="s">
        <v>33</v>
      </c>
      <c r="DO6" s="49" t="s">
        <v>33</v>
      </c>
      <c r="DP6" s="49" t="s">
        <v>33</v>
      </c>
      <c r="DQ6" s="49" t="s">
        <v>33</v>
      </c>
      <c r="DR6" s="49" t="s">
        <v>33</v>
      </c>
      <c r="DS6" s="49" t="s">
        <v>33</v>
      </c>
      <c r="DT6" s="49" t="s">
        <v>33</v>
      </c>
      <c r="DU6" s="49" t="s">
        <v>33</v>
      </c>
      <c r="DV6" s="49" t="s">
        <v>33</v>
      </c>
      <c r="DW6" s="170" t="s">
        <v>33</v>
      </c>
      <c r="DX6" s="170" t="s">
        <v>33</v>
      </c>
      <c r="DY6" s="49" t="s">
        <v>33</v>
      </c>
      <c r="DZ6" s="49" t="s">
        <v>33</v>
      </c>
      <c r="EA6" s="49" t="s">
        <v>33</v>
      </c>
      <c r="EB6" s="49" t="s">
        <v>33</v>
      </c>
      <c r="EC6" s="49" t="s">
        <v>33</v>
      </c>
      <c r="ED6" s="49" t="s">
        <v>41</v>
      </c>
      <c r="EE6" s="49" t="s">
        <v>33</v>
      </c>
      <c r="EF6" s="49" t="s">
        <v>33</v>
      </c>
      <c r="EG6" s="49" t="s">
        <v>33</v>
      </c>
      <c r="EH6" s="49" t="s">
        <v>33</v>
      </c>
      <c r="EI6" s="49" t="s">
        <v>33</v>
      </c>
      <c r="EJ6" s="49" t="s">
        <v>33</v>
      </c>
      <c r="EK6" s="49" t="s">
        <v>33</v>
      </c>
      <c r="EL6" s="49" t="s">
        <v>33</v>
      </c>
      <c r="EM6" s="49" t="s">
        <v>33</v>
      </c>
      <c r="EN6" s="49" t="s">
        <v>33</v>
      </c>
      <c r="EO6" s="49" t="s">
        <v>33</v>
      </c>
      <c r="EP6" s="49" t="s">
        <v>33</v>
      </c>
      <c r="EQ6" s="49" t="s">
        <v>33</v>
      </c>
      <c r="ER6" s="49" t="s">
        <v>33</v>
      </c>
      <c r="ES6" s="49" t="s">
        <v>33</v>
      </c>
      <c r="ET6" s="49" t="s">
        <v>33</v>
      </c>
      <c r="EU6" s="170" t="s">
        <v>33</v>
      </c>
      <c r="EV6" s="49" t="s">
        <v>33</v>
      </c>
      <c r="EW6" s="49" t="s">
        <v>33</v>
      </c>
      <c r="EX6" s="49" t="s">
        <v>33</v>
      </c>
      <c r="EY6" s="49" t="s">
        <v>33</v>
      </c>
      <c r="EZ6" s="49" t="s">
        <v>33</v>
      </c>
      <c r="FA6" s="49" t="s">
        <v>33</v>
      </c>
      <c r="FB6" s="49" t="s">
        <v>33</v>
      </c>
      <c r="FC6" s="49" t="s">
        <v>33</v>
      </c>
      <c r="FD6" s="49" t="s">
        <v>33</v>
      </c>
      <c r="FE6" s="13" t="s">
        <v>33</v>
      </c>
      <c r="FF6" s="13" t="s">
        <v>33</v>
      </c>
      <c r="FG6" s="13" t="s">
        <v>33</v>
      </c>
      <c r="FH6" s="13" t="s">
        <v>33</v>
      </c>
      <c r="FI6" s="49" t="s">
        <v>33</v>
      </c>
      <c r="FJ6" s="49" t="s">
        <v>33</v>
      </c>
      <c r="FK6" s="49" t="s">
        <v>33</v>
      </c>
      <c r="FL6" s="49" t="s">
        <v>33</v>
      </c>
      <c r="FM6" s="49" t="s">
        <v>33</v>
      </c>
      <c r="FN6" s="49" t="s">
        <v>33</v>
      </c>
      <c r="FO6" s="49" t="s">
        <v>33</v>
      </c>
      <c r="FP6" s="49" t="s">
        <v>33</v>
      </c>
      <c r="FQ6" s="49" t="s">
        <v>33</v>
      </c>
      <c r="FR6" s="49" t="s">
        <v>33</v>
      </c>
      <c r="FS6" s="49" t="s">
        <v>33</v>
      </c>
      <c r="FT6" s="49" t="s">
        <v>33</v>
      </c>
      <c r="FU6" s="49" t="s">
        <v>33</v>
      </c>
      <c r="FV6" s="49" t="s">
        <v>33</v>
      </c>
      <c r="FW6" s="49" t="s">
        <v>33</v>
      </c>
      <c r="FX6" s="49" t="s">
        <v>33</v>
      </c>
      <c r="FY6" s="49" t="s">
        <v>33</v>
      </c>
      <c r="FZ6" s="49" t="s">
        <v>33</v>
      </c>
      <c r="GA6" s="49" t="s">
        <v>33</v>
      </c>
      <c r="GB6" s="49" t="s">
        <v>33</v>
      </c>
      <c r="GC6" s="49" t="s">
        <v>33</v>
      </c>
      <c r="GD6" s="13" t="s">
        <v>33</v>
      </c>
      <c r="GE6" s="13" t="s">
        <v>33</v>
      </c>
      <c r="GF6" s="193" t="s">
        <v>843</v>
      </c>
      <c r="GG6" s="193" t="s">
        <v>843</v>
      </c>
      <c r="GH6" s="193" t="s">
        <v>843</v>
      </c>
      <c r="GI6" s="13" t="s">
        <v>33</v>
      </c>
      <c r="GJ6" s="13" t="s">
        <v>33</v>
      </c>
      <c r="GK6" s="13"/>
      <c r="GL6" s="13"/>
      <c r="GM6" s="13"/>
      <c r="GN6" s="13"/>
      <c r="GO6" s="13"/>
    </row>
    <row r="7" customFormat="false" ht="15.75" hidden="true" customHeight="false" outlineLevel="0" collapsed="false">
      <c r="A7" s="194" t="s">
        <v>121</v>
      </c>
      <c r="B7" s="37"/>
      <c r="C7" s="37"/>
      <c r="D7" s="37"/>
      <c r="E7" s="37"/>
      <c r="F7" s="37"/>
      <c r="G7" s="37"/>
      <c r="H7" s="37"/>
      <c r="I7" s="37"/>
      <c r="J7" s="37"/>
      <c r="K7" s="37"/>
      <c r="L7" s="37"/>
      <c r="M7" s="37"/>
      <c r="N7" s="37"/>
      <c r="O7" s="37"/>
      <c r="P7" s="37"/>
      <c r="Q7" s="37"/>
      <c r="R7" s="37"/>
      <c r="S7" s="37"/>
      <c r="T7" s="37"/>
      <c r="U7" s="37"/>
      <c r="V7" s="37"/>
      <c r="W7" s="37"/>
      <c r="X7" s="184" t="s">
        <v>33</v>
      </c>
      <c r="Y7" s="184" t="s">
        <v>33</v>
      </c>
      <c r="Z7" s="184" t="s">
        <v>33</v>
      </c>
      <c r="AA7" s="184" t="s">
        <v>33</v>
      </c>
      <c r="AB7" s="184" t="s">
        <v>33</v>
      </c>
      <c r="AC7" s="184" t="s">
        <v>33</v>
      </c>
      <c r="AD7" s="184" t="s">
        <v>33</v>
      </c>
      <c r="AE7" s="45" t="s">
        <v>37</v>
      </c>
      <c r="AF7" s="184" t="s">
        <v>33</v>
      </c>
      <c r="AG7" s="45" t="s">
        <v>37</v>
      </c>
      <c r="AH7" s="45" t="s">
        <v>37</v>
      </c>
      <c r="AI7" s="45" t="s">
        <v>37</v>
      </c>
      <c r="AJ7" s="45" t="s">
        <v>37</v>
      </c>
      <c r="AK7" s="45" t="s">
        <v>37</v>
      </c>
      <c r="AL7" s="45" t="s">
        <v>37</v>
      </c>
      <c r="AM7" s="45" t="s">
        <v>37</v>
      </c>
      <c r="AN7" s="45" t="s">
        <v>37</v>
      </c>
      <c r="AO7" s="185" t="s">
        <v>37</v>
      </c>
      <c r="AP7" s="185" t="s">
        <v>37</v>
      </c>
      <c r="AQ7" s="184" t="s">
        <v>33</v>
      </c>
      <c r="AR7" s="185" t="s">
        <v>37</v>
      </c>
      <c r="AS7" s="184" t="s">
        <v>33</v>
      </c>
      <c r="AT7" s="184" t="s">
        <v>33</v>
      </c>
      <c r="AU7" s="184" t="s">
        <v>33</v>
      </c>
      <c r="AV7" s="184" t="s">
        <v>33</v>
      </c>
      <c r="AW7" s="184" t="s">
        <v>33</v>
      </c>
      <c r="AX7" s="184" t="s">
        <v>33</v>
      </c>
      <c r="AY7" s="184" t="s">
        <v>33</v>
      </c>
      <c r="AZ7" s="184" t="s">
        <v>33</v>
      </c>
      <c r="BA7" s="184" t="s">
        <v>33</v>
      </c>
      <c r="BB7" s="184" t="s">
        <v>33</v>
      </c>
      <c r="BC7" s="184" t="s">
        <v>33</v>
      </c>
      <c r="BD7" s="184" t="s">
        <v>33</v>
      </c>
      <c r="BE7" s="184" t="s">
        <v>33</v>
      </c>
      <c r="BF7" s="184" t="s">
        <v>33</v>
      </c>
      <c r="BG7" s="184" t="s">
        <v>33</v>
      </c>
      <c r="BH7" s="184" t="s">
        <v>33</v>
      </c>
      <c r="BI7" s="184" t="s">
        <v>33</v>
      </c>
      <c r="BJ7" s="184" t="s">
        <v>33</v>
      </c>
      <c r="BK7" s="184" t="s">
        <v>33</v>
      </c>
      <c r="BL7" s="184" t="s">
        <v>33</v>
      </c>
      <c r="BM7" s="184" t="s">
        <v>33</v>
      </c>
      <c r="BN7" s="184" t="s">
        <v>33</v>
      </c>
      <c r="BO7" s="184" t="s">
        <v>33</v>
      </c>
      <c r="BP7" s="184" t="s">
        <v>33</v>
      </c>
      <c r="BQ7" s="184" t="s">
        <v>33</v>
      </c>
      <c r="BR7" s="184" t="s">
        <v>33</v>
      </c>
      <c r="BS7" s="184" t="s">
        <v>33</v>
      </c>
      <c r="BT7" s="184" t="s">
        <v>33</v>
      </c>
      <c r="BU7" s="184" t="s">
        <v>33</v>
      </c>
      <c r="BV7" s="184" t="s">
        <v>33</v>
      </c>
      <c r="BW7" s="184" t="s">
        <v>33</v>
      </c>
      <c r="BX7" s="184" t="s">
        <v>33</v>
      </c>
      <c r="BY7" s="184" t="s">
        <v>33</v>
      </c>
      <c r="BZ7" s="184" t="s">
        <v>33</v>
      </c>
      <c r="CA7" s="184" t="s">
        <v>33</v>
      </c>
      <c r="CB7" s="184" t="s">
        <v>33</v>
      </c>
      <c r="CC7" s="184" t="s">
        <v>33</v>
      </c>
      <c r="CD7" s="184" t="s">
        <v>33</v>
      </c>
      <c r="CE7" s="184" t="s">
        <v>33</v>
      </c>
      <c r="CF7" s="184" t="s">
        <v>33</v>
      </c>
      <c r="CG7" s="184" t="s">
        <v>33</v>
      </c>
      <c r="CH7" s="184" t="s">
        <v>33</v>
      </c>
      <c r="CI7" s="184" t="s">
        <v>33</v>
      </c>
      <c r="CJ7" s="184" t="s">
        <v>33</v>
      </c>
      <c r="CK7" s="184" t="s">
        <v>33</v>
      </c>
      <c r="CL7" s="184" t="s">
        <v>33</v>
      </c>
      <c r="CM7" s="191" t="s">
        <v>33</v>
      </c>
      <c r="CN7" s="191" t="s">
        <v>33</v>
      </c>
      <c r="CO7" s="13" t="s">
        <v>41</v>
      </c>
      <c r="CP7" s="13" t="s">
        <v>41</v>
      </c>
      <c r="CQ7" s="13" t="s">
        <v>41</v>
      </c>
      <c r="CR7" s="13" t="s">
        <v>41</v>
      </c>
      <c r="CS7" s="49" t="s">
        <v>41</v>
      </c>
      <c r="CT7" s="49" t="s">
        <v>41</v>
      </c>
      <c r="CU7" s="49" t="s">
        <v>41</v>
      </c>
      <c r="CV7" s="170" t="s">
        <v>41</v>
      </c>
      <c r="CW7" s="170" t="s">
        <v>41</v>
      </c>
      <c r="CX7" s="49" t="s">
        <v>41</v>
      </c>
      <c r="CY7" s="49" t="s">
        <v>41</v>
      </c>
      <c r="CZ7" s="49" t="s">
        <v>37</v>
      </c>
      <c r="DA7" s="49" t="s">
        <v>41</v>
      </c>
      <c r="DB7" s="49" t="s">
        <v>41</v>
      </c>
      <c r="DC7" s="49" t="s">
        <v>41</v>
      </c>
      <c r="DD7" s="49" t="s">
        <v>41</v>
      </c>
      <c r="DE7" s="49" t="s">
        <v>41</v>
      </c>
      <c r="DF7" s="49" t="s">
        <v>47</v>
      </c>
      <c r="DG7" s="49" t="s">
        <v>47</v>
      </c>
      <c r="DH7" s="170" t="s">
        <v>47</v>
      </c>
      <c r="DI7" s="49" t="s">
        <v>47</v>
      </c>
      <c r="DJ7" s="49" t="s">
        <v>47</v>
      </c>
      <c r="DK7" s="49" t="s">
        <v>47</v>
      </c>
      <c r="DL7" s="49" t="s">
        <v>47</v>
      </c>
      <c r="DM7" s="49" t="s">
        <v>47</v>
      </c>
      <c r="DN7" s="49" t="s">
        <v>47</v>
      </c>
      <c r="DO7" s="49" t="s">
        <v>47</v>
      </c>
      <c r="DP7" s="49" t="s">
        <v>47</v>
      </c>
      <c r="DQ7" s="49" t="s">
        <v>47</v>
      </c>
      <c r="DR7" s="49" t="s">
        <v>47</v>
      </c>
      <c r="DS7" s="49" t="s">
        <v>47</v>
      </c>
      <c r="DT7" s="49" t="s">
        <v>47</v>
      </c>
      <c r="DU7" s="49" t="s">
        <v>47</v>
      </c>
      <c r="DV7" s="49" t="s">
        <v>47</v>
      </c>
      <c r="DW7" s="49" t="s">
        <v>47</v>
      </c>
      <c r="DX7" s="49" t="s">
        <v>47</v>
      </c>
      <c r="DY7" s="49" t="s">
        <v>47</v>
      </c>
      <c r="DZ7" s="49" t="s">
        <v>47</v>
      </c>
      <c r="EA7" s="49" t="s">
        <v>47</v>
      </c>
      <c r="EB7" s="49" t="s">
        <v>47</v>
      </c>
      <c r="EC7" s="49" t="s">
        <v>47</v>
      </c>
      <c r="ED7" s="49" t="s">
        <v>47</v>
      </c>
      <c r="EE7" s="49" t="s">
        <v>47</v>
      </c>
      <c r="EF7" s="49" t="s">
        <v>47</v>
      </c>
      <c r="EG7" s="49" t="s">
        <v>47</v>
      </c>
      <c r="EH7" s="49" t="s">
        <v>47</v>
      </c>
      <c r="EI7" s="49" t="s">
        <v>47</v>
      </c>
      <c r="EJ7" s="49" t="s">
        <v>47</v>
      </c>
      <c r="EK7" s="49" t="s">
        <v>47</v>
      </c>
      <c r="EL7" s="49" t="s">
        <v>47</v>
      </c>
      <c r="EM7" s="49" t="s">
        <v>47</v>
      </c>
      <c r="EN7" s="49" t="s">
        <v>47</v>
      </c>
      <c r="EO7" s="49" t="s">
        <v>47</v>
      </c>
      <c r="EP7" s="49" t="s">
        <v>47</v>
      </c>
      <c r="EQ7" s="49" t="s">
        <v>47</v>
      </c>
      <c r="ER7" s="49" t="s">
        <v>47</v>
      </c>
      <c r="ES7" s="49" t="s">
        <v>47</v>
      </c>
      <c r="ET7" s="170" t="s">
        <v>47</v>
      </c>
      <c r="EU7" s="170" t="s">
        <v>47</v>
      </c>
      <c r="EV7" s="49" t="s">
        <v>47</v>
      </c>
      <c r="EW7" s="49" t="s">
        <v>47</v>
      </c>
      <c r="EX7" s="49" t="s">
        <v>47</v>
      </c>
      <c r="EY7" s="49" t="s">
        <v>47</v>
      </c>
      <c r="EZ7" s="49" t="s">
        <v>47</v>
      </c>
      <c r="FA7" s="49" t="s">
        <v>47</v>
      </c>
      <c r="FB7" s="49" t="s">
        <v>47</v>
      </c>
      <c r="FC7" s="49" t="s">
        <v>47</v>
      </c>
      <c r="FD7" s="49" t="s">
        <v>47</v>
      </c>
      <c r="FE7" s="49" t="s">
        <v>47</v>
      </c>
      <c r="FF7" s="49" t="s">
        <v>47</v>
      </c>
      <c r="FG7" s="49" t="s">
        <v>47</v>
      </c>
      <c r="FH7" s="49" t="s">
        <v>47</v>
      </c>
      <c r="FI7" s="49" t="s">
        <v>47</v>
      </c>
      <c r="FJ7" s="49" t="s">
        <v>47</v>
      </c>
      <c r="FK7" s="49" t="s">
        <v>47</v>
      </c>
      <c r="FL7" s="49" t="s">
        <v>47</v>
      </c>
      <c r="FM7" s="49" t="s">
        <v>47</v>
      </c>
      <c r="FN7" s="49" t="s">
        <v>47</v>
      </c>
      <c r="FO7" s="49" t="s">
        <v>47</v>
      </c>
      <c r="FP7" s="49" t="s">
        <v>47</v>
      </c>
      <c r="FQ7" s="49" t="s">
        <v>47</v>
      </c>
      <c r="FR7" s="49" t="s">
        <v>47</v>
      </c>
      <c r="FS7" s="49" t="s">
        <v>47</v>
      </c>
      <c r="FT7" s="49" t="s">
        <v>47</v>
      </c>
      <c r="FU7" s="49" t="s">
        <v>47</v>
      </c>
      <c r="FV7" s="49" t="s">
        <v>47</v>
      </c>
      <c r="FW7" s="13"/>
      <c r="FX7" s="13"/>
      <c r="FY7" s="13"/>
      <c r="FZ7" s="13"/>
      <c r="GA7" s="13"/>
      <c r="GB7" s="13"/>
      <c r="GC7" s="13"/>
      <c r="GD7" s="13"/>
      <c r="GE7" s="13"/>
      <c r="GF7" s="13"/>
      <c r="GG7" s="13"/>
      <c r="GH7" s="13"/>
      <c r="GI7" s="13"/>
      <c r="GJ7" s="13"/>
      <c r="GK7" s="13"/>
      <c r="GL7" s="13"/>
      <c r="GM7" s="13"/>
      <c r="GN7" s="13"/>
      <c r="GO7" s="13"/>
    </row>
    <row r="8" customFormat="false" ht="15.75" hidden="true" customHeight="false" outlineLevel="0" collapsed="false">
      <c r="A8" s="20" t="s">
        <v>136</v>
      </c>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184" t="s">
        <v>33</v>
      </c>
      <c r="AI8" s="184" t="s">
        <v>33</v>
      </c>
      <c r="AJ8" s="184" t="s">
        <v>33</v>
      </c>
      <c r="AK8" s="184" t="s">
        <v>33</v>
      </c>
      <c r="AL8" s="184" t="s">
        <v>33</v>
      </c>
      <c r="AM8" s="184" t="s">
        <v>33</v>
      </c>
      <c r="AN8" s="184" t="s">
        <v>33</v>
      </c>
      <c r="AO8" s="184" t="s">
        <v>33</v>
      </c>
      <c r="AP8" s="184" t="s">
        <v>33</v>
      </c>
      <c r="AQ8" s="184" t="s">
        <v>33</v>
      </c>
      <c r="AR8" s="184" t="s">
        <v>33</v>
      </c>
      <c r="AS8" s="184" t="s">
        <v>33</v>
      </c>
      <c r="AT8" s="185" t="s">
        <v>37</v>
      </c>
      <c r="AU8" s="184" t="s">
        <v>33</v>
      </c>
      <c r="AV8" s="184" t="s">
        <v>33</v>
      </c>
      <c r="AW8" s="189" t="s">
        <v>41</v>
      </c>
      <c r="AX8" s="189" t="s">
        <v>41</v>
      </c>
      <c r="AY8" s="189" t="s">
        <v>41</v>
      </c>
      <c r="AZ8" s="189" t="s">
        <v>41</v>
      </c>
      <c r="BA8" s="189" t="s">
        <v>41</v>
      </c>
      <c r="BB8" s="189" t="s">
        <v>41</v>
      </c>
      <c r="BC8" s="189" t="s">
        <v>41</v>
      </c>
      <c r="BD8" s="189" t="s">
        <v>41</v>
      </c>
      <c r="BE8" s="189" t="s">
        <v>41</v>
      </c>
      <c r="BF8" s="195" t="s">
        <v>41</v>
      </c>
      <c r="BG8" s="195" t="s">
        <v>41</v>
      </c>
      <c r="BH8" s="195" t="s">
        <v>41</v>
      </c>
      <c r="BI8" s="195" t="s">
        <v>41</v>
      </c>
      <c r="BJ8" s="195" t="s">
        <v>41</v>
      </c>
      <c r="BK8" s="195" t="s">
        <v>41</v>
      </c>
      <c r="BL8" s="195" t="s">
        <v>41</v>
      </c>
      <c r="BM8" s="195" t="s">
        <v>41</v>
      </c>
      <c r="BN8" s="195" t="s">
        <v>41</v>
      </c>
      <c r="BO8" s="195" t="s">
        <v>41</v>
      </c>
      <c r="BP8" s="195" t="s">
        <v>41</v>
      </c>
      <c r="BQ8" s="195" t="s">
        <v>41</v>
      </c>
      <c r="BR8" s="195" t="s">
        <v>41</v>
      </c>
      <c r="BS8" s="195" t="s">
        <v>41</v>
      </c>
      <c r="BT8" s="195" t="s">
        <v>41</v>
      </c>
      <c r="BU8" s="195" t="s">
        <v>41</v>
      </c>
      <c r="BV8" s="195" t="s">
        <v>41</v>
      </c>
      <c r="BW8" s="195" t="s">
        <v>41</v>
      </c>
      <c r="BX8" s="195" t="s">
        <v>41</v>
      </c>
      <c r="BY8" s="195" t="s">
        <v>41</v>
      </c>
      <c r="BZ8" s="195" t="s">
        <v>41</v>
      </c>
      <c r="CA8" s="195" t="s">
        <v>41</v>
      </c>
      <c r="CB8" s="195" t="s">
        <v>41</v>
      </c>
      <c r="CC8" s="195" t="s">
        <v>41</v>
      </c>
      <c r="CD8" s="195" t="s">
        <v>41</v>
      </c>
      <c r="CE8" s="195" t="s">
        <v>41</v>
      </c>
      <c r="CF8" s="195" t="s">
        <v>41</v>
      </c>
      <c r="CG8" s="195" t="s">
        <v>41</v>
      </c>
      <c r="CH8" s="195" t="s">
        <v>41</v>
      </c>
      <c r="CI8" s="195" t="s">
        <v>41</v>
      </c>
      <c r="CJ8" s="195" t="s">
        <v>41</v>
      </c>
      <c r="CK8" s="195" t="s">
        <v>41</v>
      </c>
      <c r="CL8" s="195" t="s">
        <v>41</v>
      </c>
      <c r="CM8" s="195" t="s">
        <v>41</v>
      </c>
      <c r="CN8" s="195" t="s">
        <v>41</v>
      </c>
      <c r="CO8" s="195" t="s">
        <v>41</v>
      </c>
      <c r="CP8" s="195" t="s">
        <v>41</v>
      </c>
      <c r="CQ8" s="196"/>
      <c r="CR8" s="196"/>
      <c r="CS8" s="196"/>
      <c r="CT8" s="196"/>
      <c r="CU8" s="196"/>
      <c r="CV8" s="197"/>
      <c r="CW8" s="196"/>
      <c r="CX8" s="196"/>
      <c r="CY8" s="196"/>
      <c r="CZ8" s="196"/>
      <c r="DA8" s="196"/>
      <c r="DB8" s="196"/>
      <c r="DC8" s="196"/>
      <c r="DD8" s="196"/>
      <c r="DE8" s="196"/>
      <c r="DF8" s="196"/>
      <c r="DG8" s="196"/>
      <c r="DH8" s="197"/>
      <c r="DI8" s="197"/>
      <c r="DJ8" s="196"/>
      <c r="DK8" s="196"/>
      <c r="DL8" s="196"/>
      <c r="DM8" s="196"/>
      <c r="DN8" s="196"/>
      <c r="DO8" s="196"/>
      <c r="DP8" s="196"/>
      <c r="DQ8" s="196"/>
      <c r="DR8" s="196"/>
      <c r="DS8" s="196"/>
      <c r="DT8" s="196"/>
      <c r="DU8" s="196"/>
      <c r="DV8" s="196"/>
      <c r="DW8" s="197"/>
      <c r="DX8" s="196"/>
      <c r="DY8" s="196"/>
      <c r="DZ8" s="196"/>
      <c r="EA8" s="196"/>
      <c r="EB8" s="196"/>
      <c r="EC8" s="196"/>
      <c r="ED8" s="196"/>
      <c r="EE8" s="196"/>
      <c r="EF8" s="196"/>
      <c r="EG8" s="196"/>
      <c r="EH8" s="196"/>
      <c r="EI8" s="196"/>
      <c r="EJ8" s="196"/>
      <c r="EK8" s="196"/>
      <c r="EL8" s="196"/>
      <c r="EM8" s="196"/>
      <c r="EN8" s="196"/>
      <c r="EO8" s="196"/>
      <c r="EP8" s="196"/>
      <c r="EQ8" s="196"/>
      <c r="ER8" s="196"/>
      <c r="ES8" s="196"/>
      <c r="ET8" s="197"/>
      <c r="EU8" s="197"/>
      <c r="EV8" s="196"/>
      <c r="EW8" s="196"/>
      <c r="EX8" s="196"/>
      <c r="EY8" s="196"/>
      <c r="EZ8" s="196"/>
      <c r="FA8" s="196"/>
      <c r="FB8" s="196"/>
      <c r="FC8" s="196"/>
      <c r="FD8" s="196"/>
      <c r="FE8" s="196"/>
      <c r="FF8" s="196"/>
      <c r="FG8" s="196"/>
      <c r="FH8" s="196"/>
      <c r="FI8" s="196"/>
      <c r="FJ8" s="196"/>
      <c r="FK8" s="196"/>
      <c r="FL8" s="196"/>
      <c r="FM8" s="196"/>
      <c r="FN8" s="196"/>
      <c r="FO8" s="196"/>
      <c r="FP8" s="196"/>
      <c r="FQ8" s="196"/>
      <c r="FR8" s="196"/>
      <c r="FS8" s="196"/>
      <c r="FT8" s="196"/>
      <c r="FU8" s="196"/>
      <c r="FV8" s="196"/>
      <c r="FW8" s="13"/>
      <c r="FX8" s="13"/>
      <c r="FY8" s="13"/>
      <c r="FZ8" s="13"/>
      <c r="GA8" s="13"/>
      <c r="GB8" s="13"/>
      <c r="GC8" s="13"/>
      <c r="GD8" s="13"/>
      <c r="GE8" s="13"/>
      <c r="GF8" s="13"/>
      <c r="GG8" s="13"/>
      <c r="GH8" s="13"/>
      <c r="GI8" s="13"/>
      <c r="GJ8" s="13"/>
      <c r="GK8" s="13"/>
      <c r="GL8" s="13"/>
      <c r="GM8" s="13"/>
      <c r="GN8" s="13"/>
      <c r="GO8" s="13"/>
    </row>
    <row r="9" customFormat="false" ht="15.75" hidden="true" customHeight="false" outlineLevel="0" collapsed="false">
      <c r="A9" s="33" t="s">
        <v>136</v>
      </c>
      <c r="B9" s="180" t="s">
        <v>33</v>
      </c>
      <c r="C9" s="180" t="s">
        <v>33</v>
      </c>
      <c r="D9" s="180" t="s">
        <v>33</v>
      </c>
      <c r="E9" s="180" t="s">
        <v>33</v>
      </c>
      <c r="F9" s="180" t="s">
        <v>33</v>
      </c>
      <c r="G9" s="180" t="s">
        <v>33</v>
      </c>
      <c r="H9" s="180" t="s">
        <v>33</v>
      </c>
      <c r="I9" s="180" t="s">
        <v>33</v>
      </c>
      <c r="J9" s="180" t="s">
        <v>33</v>
      </c>
      <c r="K9" s="180" t="s">
        <v>33</v>
      </c>
      <c r="L9" s="180" t="s">
        <v>33</v>
      </c>
      <c r="M9" s="180" t="s">
        <v>33</v>
      </c>
      <c r="N9" s="180" t="s">
        <v>33</v>
      </c>
      <c r="O9" s="180" t="s">
        <v>843</v>
      </c>
      <c r="P9" s="180" t="s">
        <v>33</v>
      </c>
      <c r="Q9" s="198" t="s">
        <v>37</v>
      </c>
      <c r="R9" s="198" t="s">
        <v>37</v>
      </c>
      <c r="S9" s="198" t="s">
        <v>37</v>
      </c>
      <c r="T9" s="198" t="s">
        <v>37</v>
      </c>
      <c r="U9" s="179" t="s">
        <v>41</v>
      </c>
      <c r="V9" s="179" t="s">
        <v>41</v>
      </c>
      <c r="W9" s="179" t="s">
        <v>41</v>
      </c>
      <c r="X9" s="199"/>
      <c r="Y9" s="199"/>
      <c r="Z9" s="199"/>
      <c r="AA9" s="199"/>
      <c r="AB9" s="199"/>
      <c r="AC9" s="199"/>
      <c r="AD9" s="199"/>
      <c r="AE9" s="199"/>
      <c r="AF9" s="199"/>
      <c r="AG9" s="199"/>
      <c r="AH9" s="199"/>
      <c r="AI9" s="199"/>
      <c r="AJ9" s="199"/>
      <c r="AK9" s="199"/>
      <c r="AL9" s="199"/>
      <c r="AM9" s="199"/>
      <c r="AN9" s="199"/>
      <c r="AO9" s="200"/>
      <c r="AP9" s="200"/>
      <c r="AQ9" s="201"/>
      <c r="AR9" s="200"/>
      <c r="AS9" s="200"/>
      <c r="AT9" s="200"/>
      <c r="AU9" s="200"/>
      <c r="AV9" s="200"/>
      <c r="AW9" s="200"/>
      <c r="AX9" s="200"/>
      <c r="AY9" s="200"/>
      <c r="AZ9" s="200"/>
      <c r="BA9" s="200"/>
      <c r="BB9" s="200"/>
      <c r="BC9" s="200"/>
      <c r="BD9" s="200"/>
      <c r="BE9" s="200"/>
      <c r="BF9" s="200"/>
      <c r="BG9" s="200"/>
      <c r="BH9" s="200"/>
      <c r="BI9" s="200"/>
      <c r="BJ9" s="200"/>
      <c r="BK9" s="200"/>
      <c r="BL9" s="200"/>
      <c r="BM9" s="200"/>
      <c r="BN9" s="200"/>
      <c r="BO9" s="200"/>
      <c r="BP9" s="200"/>
      <c r="BQ9" s="200"/>
      <c r="BR9" s="200"/>
      <c r="BS9" s="200"/>
      <c r="BT9" s="200"/>
      <c r="BU9" s="200"/>
      <c r="BV9" s="200"/>
      <c r="BW9" s="200"/>
      <c r="BX9" s="200"/>
      <c r="BY9" s="200"/>
      <c r="BZ9" s="200"/>
      <c r="CA9" s="200"/>
      <c r="CB9" s="200"/>
      <c r="CC9" s="200"/>
      <c r="CD9" s="200"/>
      <c r="CE9" s="200"/>
      <c r="CF9" s="200"/>
      <c r="CG9" s="200"/>
      <c r="CH9" s="200"/>
      <c r="CI9" s="200"/>
      <c r="CJ9" s="200"/>
      <c r="CK9" s="200"/>
      <c r="CL9" s="200"/>
      <c r="CM9" s="200"/>
      <c r="CN9" s="199"/>
      <c r="CO9" s="199"/>
      <c r="CP9" s="199"/>
      <c r="CQ9" s="199"/>
      <c r="CR9" s="199"/>
      <c r="CS9" s="199"/>
      <c r="CT9" s="199"/>
      <c r="CU9" s="199"/>
      <c r="CV9" s="202"/>
      <c r="CW9" s="199"/>
      <c r="CX9" s="196"/>
      <c r="CY9" s="196"/>
      <c r="CZ9" s="196"/>
      <c r="DA9" s="196"/>
      <c r="DB9" s="196"/>
      <c r="DC9" s="196"/>
      <c r="DD9" s="196"/>
      <c r="DE9" s="196"/>
      <c r="DF9" s="196"/>
      <c r="DG9" s="196"/>
      <c r="DH9" s="197"/>
      <c r="DI9" s="197"/>
      <c r="DJ9" s="196"/>
      <c r="DK9" s="196"/>
      <c r="DL9" s="196"/>
      <c r="DM9" s="196"/>
      <c r="DN9" s="196"/>
      <c r="DO9" s="196"/>
      <c r="DP9" s="196"/>
      <c r="DQ9" s="196"/>
      <c r="DR9" s="196"/>
      <c r="DS9" s="196"/>
      <c r="DT9" s="196"/>
      <c r="DU9" s="196"/>
      <c r="DV9" s="196"/>
      <c r="DW9" s="197"/>
      <c r="DX9" s="196"/>
      <c r="DY9" s="196"/>
      <c r="DZ9" s="196"/>
      <c r="EA9" s="196"/>
      <c r="EB9" s="196"/>
      <c r="EC9" s="196"/>
      <c r="ED9" s="196"/>
      <c r="EE9" s="196"/>
      <c r="EF9" s="196"/>
      <c r="EG9" s="196"/>
      <c r="EH9" s="196"/>
      <c r="EI9" s="196"/>
      <c r="EJ9" s="196"/>
      <c r="EK9" s="196"/>
      <c r="EL9" s="196"/>
      <c r="EM9" s="196"/>
      <c r="EN9" s="196"/>
      <c r="EO9" s="196"/>
      <c r="EP9" s="196"/>
      <c r="EQ9" s="196"/>
      <c r="ER9" s="196"/>
      <c r="ES9" s="196"/>
      <c r="ET9" s="197"/>
      <c r="EU9" s="197"/>
      <c r="EV9" s="196"/>
      <c r="EW9" s="196"/>
      <c r="EX9" s="196"/>
      <c r="EY9" s="196"/>
      <c r="EZ9" s="196"/>
      <c r="FA9" s="196"/>
      <c r="FB9" s="196"/>
      <c r="FC9" s="196"/>
      <c r="FD9" s="196"/>
      <c r="FE9" s="196"/>
      <c r="FF9" s="196"/>
      <c r="FG9" s="196"/>
      <c r="FH9" s="196"/>
      <c r="FI9" s="196"/>
      <c r="FJ9" s="196"/>
      <c r="FK9" s="196"/>
      <c r="FL9" s="196"/>
      <c r="FM9" s="196"/>
      <c r="FN9" s="196"/>
      <c r="FO9" s="196"/>
      <c r="FP9" s="196"/>
      <c r="FQ9" s="196"/>
      <c r="FR9" s="196"/>
      <c r="FS9" s="196"/>
      <c r="FT9" s="196"/>
      <c r="FU9" s="196"/>
      <c r="FV9" s="196"/>
      <c r="FW9" s="13"/>
      <c r="FX9" s="13"/>
      <c r="FY9" s="13"/>
      <c r="FZ9" s="13"/>
      <c r="GA9" s="13"/>
      <c r="GB9" s="13"/>
      <c r="GC9" s="13"/>
      <c r="GD9" s="13"/>
      <c r="GE9" s="13"/>
      <c r="GF9" s="13"/>
      <c r="GG9" s="13"/>
      <c r="GH9" s="13"/>
      <c r="GI9" s="13"/>
      <c r="GJ9" s="13"/>
      <c r="GK9" s="13"/>
      <c r="GL9" s="13"/>
      <c r="GM9" s="13"/>
      <c r="GN9" s="13"/>
      <c r="GO9" s="13"/>
    </row>
    <row r="10" customFormat="false" ht="15.75" hidden="true" customHeight="false" outlineLevel="0" collapsed="false">
      <c r="A10" s="20" t="s">
        <v>140</v>
      </c>
      <c r="B10" s="184" t="s">
        <v>33</v>
      </c>
      <c r="C10" s="184" t="s">
        <v>33</v>
      </c>
      <c r="D10" s="184" t="s">
        <v>33</v>
      </c>
      <c r="E10" s="29" t="s">
        <v>41</v>
      </c>
      <c r="F10" s="184" t="s">
        <v>33</v>
      </c>
      <c r="G10" s="184" t="s">
        <v>33</v>
      </c>
      <c r="H10" s="184" t="s">
        <v>33</v>
      </c>
      <c r="I10" s="184" t="s">
        <v>33</v>
      </c>
      <c r="J10" s="184" t="s">
        <v>33</v>
      </c>
      <c r="K10" s="184" t="s">
        <v>33</v>
      </c>
      <c r="L10" s="184" t="s">
        <v>33</v>
      </c>
      <c r="M10" s="184" t="s">
        <v>33</v>
      </c>
      <c r="N10" s="184" t="s">
        <v>33</v>
      </c>
      <c r="O10" s="184" t="s">
        <v>33</v>
      </c>
      <c r="P10" s="184" t="s">
        <v>33</v>
      </c>
      <c r="Q10" s="184" t="s">
        <v>33</v>
      </c>
      <c r="R10" s="184" t="s">
        <v>33</v>
      </c>
      <c r="S10" s="184" t="s">
        <v>33</v>
      </c>
      <c r="T10" s="184" t="s">
        <v>33</v>
      </c>
      <c r="U10" s="184" t="s">
        <v>33</v>
      </c>
      <c r="V10" s="184" t="s">
        <v>33</v>
      </c>
      <c r="W10" s="184" t="s">
        <v>33</v>
      </c>
      <c r="X10" s="184" t="s">
        <v>33</v>
      </c>
      <c r="Y10" s="184" t="s">
        <v>33</v>
      </c>
      <c r="Z10" s="184" t="s">
        <v>33</v>
      </c>
      <c r="AA10" s="184" t="s">
        <v>33</v>
      </c>
      <c r="AB10" s="184" t="s">
        <v>33</v>
      </c>
      <c r="AC10" s="184" t="s">
        <v>33</v>
      </c>
      <c r="AD10" s="184" t="s">
        <v>33</v>
      </c>
      <c r="AE10" s="184" t="s">
        <v>33</v>
      </c>
      <c r="AF10" s="184" t="s">
        <v>33</v>
      </c>
      <c r="AG10" s="184" t="s">
        <v>33</v>
      </c>
      <c r="AH10" s="29" t="s">
        <v>41</v>
      </c>
      <c r="AI10" s="184" t="s">
        <v>33</v>
      </c>
      <c r="AJ10" s="184" t="s">
        <v>33</v>
      </c>
      <c r="AK10" s="184" t="s">
        <v>33</v>
      </c>
      <c r="AL10" s="45" t="s">
        <v>37</v>
      </c>
      <c r="AM10" s="184" t="s">
        <v>33</v>
      </c>
      <c r="AN10" s="184" t="s">
        <v>33</v>
      </c>
      <c r="AO10" s="184" t="s">
        <v>33</v>
      </c>
      <c r="AP10" s="184" t="s">
        <v>33</v>
      </c>
      <c r="AQ10" s="184" t="s">
        <v>33</v>
      </c>
      <c r="AR10" s="184" t="s">
        <v>33</v>
      </c>
      <c r="AS10" s="189" t="s">
        <v>41</v>
      </c>
      <c r="AT10" s="29" t="s">
        <v>41</v>
      </c>
      <c r="AU10" s="29" t="s">
        <v>41</v>
      </c>
      <c r="AV10" s="189" t="s">
        <v>41</v>
      </c>
      <c r="AW10" s="189" t="s">
        <v>41</v>
      </c>
      <c r="AX10" s="189" t="s">
        <v>41</v>
      </c>
      <c r="AY10" s="189" t="s">
        <v>41</v>
      </c>
      <c r="AZ10" s="189" t="s">
        <v>41</v>
      </c>
      <c r="BA10" s="189" t="s">
        <v>41</v>
      </c>
      <c r="BB10" s="189" t="s">
        <v>41</v>
      </c>
      <c r="BC10" s="189" t="s">
        <v>41</v>
      </c>
      <c r="BD10" s="189" t="s">
        <v>41</v>
      </c>
      <c r="BE10" s="189" t="s">
        <v>41</v>
      </c>
      <c r="BF10" s="189" t="s">
        <v>41</v>
      </c>
      <c r="BG10" s="189" t="s">
        <v>41</v>
      </c>
      <c r="BH10" s="189" t="s">
        <v>41</v>
      </c>
      <c r="BI10" s="189" t="s">
        <v>41</v>
      </c>
      <c r="BJ10" s="189" t="s">
        <v>41</v>
      </c>
      <c r="BK10" s="189" t="s">
        <v>41</v>
      </c>
      <c r="BL10" s="189" t="s">
        <v>41</v>
      </c>
      <c r="BM10" s="189" t="s">
        <v>41</v>
      </c>
      <c r="BN10" s="189" t="s">
        <v>41</v>
      </c>
      <c r="BO10" s="189" t="s">
        <v>41</v>
      </c>
      <c r="BP10" s="189" t="s">
        <v>41</v>
      </c>
      <c r="BQ10" s="189" t="s">
        <v>41</v>
      </c>
      <c r="BR10" s="189" t="s">
        <v>41</v>
      </c>
      <c r="BS10" s="189" t="s">
        <v>41</v>
      </c>
      <c r="BT10" s="189" t="s">
        <v>41</v>
      </c>
      <c r="BU10" s="189" t="s">
        <v>41</v>
      </c>
      <c r="BV10" s="189" t="s">
        <v>41</v>
      </c>
      <c r="BW10" s="189" t="s">
        <v>41</v>
      </c>
      <c r="BX10" s="189" t="s">
        <v>41</v>
      </c>
      <c r="BY10" s="189" t="s">
        <v>41</v>
      </c>
      <c r="BZ10" s="189" t="s">
        <v>41</v>
      </c>
      <c r="CA10" s="189" t="s">
        <v>41</v>
      </c>
      <c r="CB10" s="189" t="s">
        <v>41</v>
      </c>
      <c r="CC10" s="189" t="s">
        <v>41</v>
      </c>
      <c r="CD10" s="189" t="s">
        <v>41</v>
      </c>
      <c r="CE10" s="189" t="s">
        <v>41</v>
      </c>
      <c r="CF10" s="189" t="s">
        <v>41</v>
      </c>
      <c r="CG10" s="189" t="s">
        <v>41</v>
      </c>
      <c r="CH10" s="189" t="s">
        <v>41</v>
      </c>
      <c r="CI10" s="189" t="s">
        <v>41</v>
      </c>
      <c r="CJ10" s="189" t="s">
        <v>41</v>
      </c>
      <c r="CK10" s="189" t="s">
        <v>41</v>
      </c>
      <c r="CL10" s="189" t="s">
        <v>41</v>
      </c>
      <c r="CM10" s="189" t="s">
        <v>41</v>
      </c>
      <c r="CN10" s="189" t="s">
        <v>41</v>
      </c>
      <c r="CO10" s="189" t="s">
        <v>41</v>
      </c>
      <c r="CP10" s="189" t="s">
        <v>41</v>
      </c>
      <c r="CQ10" s="13" t="s">
        <v>37</v>
      </c>
      <c r="CR10" s="13" t="s">
        <v>37</v>
      </c>
      <c r="CS10" s="13" t="s">
        <v>37</v>
      </c>
      <c r="CT10" s="49" t="s">
        <v>41</v>
      </c>
      <c r="CU10" s="49" t="s">
        <v>41</v>
      </c>
      <c r="CV10" s="170" t="s">
        <v>41</v>
      </c>
      <c r="CW10" s="170" t="s">
        <v>41</v>
      </c>
      <c r="CX10" s="49" t="s">
        <v>41</v>
      </c>
      <c r="CY10" s="170" t="s">
        <v>41</v>
      </c>
      <c r="CZ10" s="170" t="s">
        <v>41</v>
      </c>
      <c r="DA10" s="170" t="s">
        <v>41</v>
      </c>
      <c r="DB10" s="170" t="s">
        <v>41</v>
      </c>
      <c r="DC10" s="49" t="s">
        <v>41</v>
      </c>
      <c r="DD10" s="49" t="s">
        <v>41</v>
      </c>
      <c r="DE10" s="49" t="s">
        <v>41</v>
      </c>
      <c r="DF10" s="49" t="s">
        <v>41</v>
      </c>
      <c r="DG10" s="49" t="s">
        <v>41</v>
      </c>
      <c r="DH10" s="49" t="s">
        <v>41</v>
      </c>
      <c r="DI10" s="49" t="s">
        <v>41</v>
      </c>
      <c r="DJ10" s="49" t="s">
        <v>41</v>
      </c>
      <c r="DK10" s="49" t="s">
        <v>41</v>
      </c>
      <c r="DL10" s="49" t="s">
        <v>41</v>
      </c>
      <c r="DM10" s="49" t="s">
        <v>47</v>
      </c>
      <c r="DN10" s="49" t="s">
        <v>47</v>
      </c>
      <c r="DO10" s="49" t="s">
        <v>47</v>
      </c>
      <c r="DP10" s="49" t="s">
        <v>47</v>
      </c>
      <c r="DQ10" s="49" t="s">
        <v>47</v>
      </c>
      <c r="DR10" s="49" t="s">
        <v>47</v>
      </c>
      <c r="DS10" s="49" t="s">
        <v>47</v>
      </c>
      <c r="DT10" s="49" t="s">
        <v>47</v>
      </c>
      <c r="DU10" s="49" t="s">
        <v>47</v>
      </c>
      <c r="DV10" s="49" t="s">
        <v>47</v>
      </c>
      <c r="DW10" s="49" t="s">
        <v>47</v>
      </c>
      <c r="DX10" s="49" t="s">
        <v>47</v>
      </c>
      <c r="DY10" s="49" t="s">
        <v>47</v>
      </c>
      <c r="DZ10" s="49" t="s">
        <v>47</v>
      </c>
      <c r="EA10" s="49" t="s">
        <v>47</v>
      </c>
      <c r="EB10" s="49" t="s">
        <v>47</v>
      </c>
      <c r="EC10" s="49" t="s">
        <v>47</v>
      </c>
      <c r="ED10" s="49" t="s">
        <v>47</v>
      </c>
      <c r="EE10" s="49" t="s">
        <v>47</v>
      </c>
      <c r="EF10" s="49" t="s">
        <v>47</v>
      </c>
      <c r="EG10" s="49" t="s">
        <v>47</v>
      </c>
      <c r="EH10" s="49" t="s">
        <v>47</v>
      </c>
      <c r="EI10" s="49" t="s">
        <v>47</v>
      </c>
      <c r="EJ10" s="49" t="s">
        <v>47</v>
      </c>
      <c r="EK10" s="49" t="s">
        <v>47</v>
      </c>
      <c r="EL10" s="49" t="s">
        <v>47</v>
      </c>
      <c r="EM10" s="49" t="s">
        <v>47</v>
      </c>
      <c r="EN10" s="49" t="s">
        <v>47</v>
      </c>
      <c r="EO10" s="49" t="s">
        <v>47</v>
      </c>
      <c r="EP10" s="49" t="s">
        <v>47</v>
      </c>
      <c r="EQ10" s="49" t="s">
        <v>47</v>
      </c>
      <c r="ER10" s="49" t="s">
        <v>47</v>
      </c>
      <c r="ES10" s="49" t="s">
        <v>47</v>
      </c>
      <c r="ET10" s="170" t="s">
        <v>47</v>
      </c>
      <c r="EU10" s="170" t="s">
        <v>47</v>
      </c>
      <c r="EV10" s="49" t="s">
        <v>47</v>
      </c>
      <c r="EW10" s="49" t="s">
        <v>47</v>
      </c>
      <c r="EX10" s="49" t="s">
        <v>47</v>
      </c>
      <c r="EY10" s="49" t="s">
        <v>47</v>
      </c>
      <c r="EZ10" s="49" t="s">
        <v>47</v>
      </c>
      <c r="FA10" s="49" t="s">
        <v>47</v>
      </c>
      <c r="FB10" s="49" t="s">
        <v>47</v>
      </c>
      <c r="FC10" s="49" t="s">
        <v>47</v>
      </c>
      <c r="FD10" s="49" t="s">
        <v>47</v>
      </c>
      <c r="FE10" s="49" t="s">
        <v>47</v>
      </c>
      <c r="FF10" s="49" t="s">
        <v>47</v>
      </c>
      <c r="FG10" s="49" t="s">
        <v>47</v>
      </c>
      <c r="FH10" s="49" t="s">
        <v>47</v>
      </c>
      <c r="FI10" s="49" t="s">
        <v>47</v>
      </c>
      <c r="FJ10" s="49" t="s">
        <v>47</v>
      </c>
      <c r="FK10" s="49" t="s">
        <v>47</v>
      </c>
      <c r="FL10" s="49" t="s">
        <v>47</v>
      </c>
      <c r="FM10" s="49" t="s">
        <v>47</v>
      </c>
      <c r="FN10" s="49" t="s">
        <v>47</v>
      </c>
      <c r="FO10" s="49" t="s">
        <v>47</v>
      </c>
      <c r="FP10" s="49" t="s">
        <v>47</v>
      </c>
      <c r="FQ10" s="49" t="s">
        <v>47</v>
      </c>
      <c r="FR10" s="49" t="s">
        <v>47</v>
      </c>
      <c r="FS10" s="49" t="s">
        <v>47</v>
      </c>
      <c r="FT10" s="49" t="s">
        <v>47</v>
      </c>
      <c r="FU10" s="49" t="s">
        <v>47</v>
      </c>
      <c r="FV10" s="49" t="s">
        <v>47</v>
      </c>
      <c r="FW10" s="13"/>
      <c r="FX10" s="13"/>
      <c r="FY10" s="13"/>
      <c r="FZ10" s="13"/>
      <c r="GA10" s="13"/>
      <c r="GB10" s="13"/>
      <c r="GC10" s="13"/>
      <c r="GD10" s="13"/>
      <c r="GE10" s="13"/>
      <c r="GF10" s="13"/>
      <c r="GG10" s="13"/>
      <c r="GH10" s="13"/>
      <c r="GI10" s="13"/>
      <c r="GJ10" s="13"/>
      <c r="GK10" s="13"/>
      <c r="GL10" s="13"/>
      <c r="GM10" s="13"/>
      <c r="GN10" s="13"/>
      <c r="GO10" s="13"/>
    </row>
    <row r="11" customFormat="false" ht="15.75" hidden="true" customHeight="false" outlineLevel="0" collapsed="false">
      <c r="A11" s="33" t="s">
        <v>144</v>
      </c>
      <c r="G11" s="184" t="s">
        <v>33</v>
      </c>
      <c r="H11" s="184" t="s">
        <v>33</v>
      </c>
      <c r="I11" s="184" t="s">
        <v>33</v>
      </c>
      <c r="J11" s="184" t="s">
        <v>33</v>
      </c>
      <c r="K11" s="184" t="s">
        <v>33</v>
      </c>
      <c r="L11" s="184" t="s">
        <v>33</v>
      </c>
      <c r="M11" s="184" t="s">
        <v>33</v>
      </c>
      <c r="N11" s="29" t="s">
        <v>41</v>
      </c>
      <c r="O11" s="29" t="s">
        <v>41</v>
      </c>
      <c r="P11" s="29" t="s">
        <v>841</v>
      </c>
      <c r="Q11" s="29" t="s">
        <v>41</v>
      </c>
      <c r="R11" s="29" t="s">
        <v>41</v>
      </c>
      <c r="S11" s="29" t="s">
        <v>41</v>
      </c>
      <c r="T11" s="29" t="s">
        <v>41</v>
      </c>
      <c r="U11" s="184" t="s">
        <v>33</v>
      </c>
      <c r="V11" s="184" t="s">
        <v>33</v>
      </c>
      <c r="W11" s="184" t="s">
        <v>33</v>
      </c>
      <c r="X11" s="184" t="s">
        <v>33</v>
      </c>
      <c r="Y11" s="184" t="s">
        <v>33</v>
      </c>
      <c r="Z11" s="184" t="s">
        <v>33</v>
      </c>
      <c r="AA11" s="184" t="s">
        <v>33</v>
      </c>
      <c r="AB11" s="184" t="s">
        <v>33</v>
      </c>
      <c r="AC11" s="184" t="s">
        <v>33</v>
      </c>
      <c r="AD11" s="184" t="s">
        <v>33</v>
      </c>
      <c r="AE11" s="184" t="s">
        <v>33</v>
      </c>
      <c r="AF11" s="184" t="s">
        <v>33</v>
      </c>
      <c r="AG11" s="29" t="s">
        <v>41</v>
      </c>
      <c r="AH11" s="184" t="s">
        <v>33</v>
      </c>
      <c r="AI11" s="184" t="s">
        <v>33</v>
      </c>
      <c r="AJ11" s="184" t="s">
        <v>33</v>
      </c>
      <c r="AK11" s="184" t="s">
        <v>33</v>
      </c>
      <c r="AL11" s="184" t="s">
        <v>33</v>
      </c>
      <c r="AM11" s="184" t="s">
        <v>33</v>
      </c>
      <c r="AN11" s="29" t="s">
        <v>41</v>
      </c>
      <c r="AO11" s="184" t="s">
        <v>33</v>
      </c>
      <c r="AP11" s="184" t="s">
        <v>33</v>
      </c>
      <c r="AQ11" s="184" t="s">
        <v>33</v>
      </c>
      <c r="AR11" s="184" t="s">
        <v>33</v>
      </c>
      <c r="AS11" s="184" t="s">
        <v>33</v>
      </c>
      <c r="AT11" s="184" t="s">
        <v>33</v>
      </c>
      <c r="AU11" s="184" t="s">
        <v>33</v>
      </c>
      <c r="AV11" s="184" t="s">
        <v>33</v>
      </c>
      <c r="AW11" s="184" t="s">
        <v>33</v>
      </c>
      <c r="AX11" s="184" t="s">
        <v>33</v>
      </c>
      <c r="AY11" s="184" t="s">
        <v>33</v>
      </c>
      <c r="AZ11" s="184" t="s">
        <v>33</v>
      </c>
      <c r="BA11" s="184" t="s">
        <v>33</v>
      </c>
      <c r="BB11" s="184" t="s">
        <v>33</v>
      </c>
      <c r="BC11" s="184" t="s">
        <v>33</v>
      </c>
      <c r="BD11" s="184" t="s">
        <v>33</v>
      </c>
      <c r="BE11" s="184" t="s">
        <v>33</v>
      </c>
      <c r="BF11" s="184" t="s">
        <v>33</v>
      </c>
      <c r="BG11" s="189" t="s">
        <v>41</v>
      </c>
      <c r="BH11" s="189" t="s">
        <v>41</v>
      </c>
      <c r="BI11" s="189" t="s">
        <v>41</v>
      </c>
      <c r="BJ11" s="189" t="s">
        <v>41</v>
      </c>
      <c r="BK11" s="189" t="s">
        <v>41</v>
      </c>
      <c r="BL11" s="189" t="s">
        <v>41</v>
      </c>
      <c r="BM11" s="189" t="s">
        <v>41</v>
      </c>
      <c r="BN11" s="189" t="s">
        <v>41</v>
      </c>
      <c r="BO11" s="189" t="s">
        <v>41</v>
      </c>
      <c r="BP11" s="189" t="s">
        <v>41</v>
      </c>
      <c r="BQ11" s="189" t="s">
        <v>41</v>
      </c>
      <c r="BR11" s="189" t="s">
        <v>41</v>
      </c>
      <c r="BS11" s="189" t="s">
        <v>41</v>
      </c>
      <c r="BT11" s="189" t="s">
        <v>41</v>
      </c>
      <c r="BU11" s="189" t="s">
        <v>41</v>
      </c>
      <c r="BV11" s="189" t="s">
        <v>41</v>
      </c>
      <c r="BW11" s="189" t="s">
        <v>41</v>
      </c>
      <c r="BX11" s="189" t="s">
        <v>41</v>
      </c>
      <c r="BY11" s="189" t="s">
        <v>41</v>
      </c>
      <c r="BZ11" s="189" t="s">
        <v>41</v>
      </c>
      <c r="CA11" s="189" t="s">
        <v>41</v>
      </c>
      <c r="CB11" s="189" t="s">
        <v>41</v>
      </c>
      <c r="CC11" s="189" t="s">
        <v>41</v>
      </c>
      <c r="CD11" s="189" t="s">
        <v>41</v>
      </c>
      <c r="CE11" s="189" t="s">
        <v>41</v>
      </c>
      <c r="CF11" s="189" t="s">
        <v>41</v>
      </c>
      <c r="CG11" s="189" t="s">
        <v>41</v>
      </c>
      <c r="CH11" s="189" t="s">
        <v>41</v>
      </c>
      <c r="CI11" s="189" t="s">
        <v>41</v>
      </c>
      <c r="CJ11" s="189" t="s">
        <v>41</v>
      </c>
      <c r="CK11" s="189" t="s">
        <v>41</v>
      </c>
      <c r="CL11" s="189" t="s">
        <v>41</v>
      </c>
      <c r="CM11" s="189" t="s">
        <v>41</v>
      </c>
      <c r="CN11" s="189" t="s">
        <v>41</v>
      </c>
      <c r="CO11" s="189" t="s">
        <v>41</v>
      </c>
      <c r="CP11" s="189" t="s">
        <v>41</v>
      </c>
      <c r="CQ11" s="189" t="s">
        <v>41</v>
      </c>
      <c r="CR11" s="189" t="s">
        <v>41</v>
      </c>
      <c r="CS11" s="189" t="s">
        <v>41</v>
      </c>
      <c r="CT11" s="189" t="s">
        <v>41</v>
      </c>
      <c r="CU11" s="189" t="s">
        <v>41</v>
      </c>
      <c r="CV11" s="189" t="s">
        <v>41</v>
      </c>
      <c r="CW11" s="189" t="s">
        <v>41</v>
      </c>
      <c r="CX11" s="49" t="s">
        <v>41</v>
      </c>
      <c r="CY11" s="49" t="s">
        <v>41</v>
      </c>
      <c r="CZ11" s="49" t="s">
        <v>41</v>
      </c>
      <c r="DA11" s="49" t="s">
        <v>41</v>
      </c>
      <c r="DB11" s="49" t="s">
        <v>41</v>
      </c>
      <c r="DC11" s="49" t="s">
        <v>41</v>
      </c>
      <c r="DD11" s="49" t="s">
        <v>41</v>
      </c>
      <c r="DE11" s="49" t="s">
        <v>41</v>
      </c>
      <c r="DF11" s="49" t="s">
        <v>47</v>
      </c>
      <c r="DG11" s="49" t="s">
        <v>47</v>
      </c>
      <c r="DH11" s="170" t="s">
        <v>47</v>
      </c>
      <c r="DI11" s="49" t="s">
        <v>47</v>
      </c>
      <c r="DJ11" s="49" t="s">
        <v>47</v>
      </c>
      <c r="DK11" s="49" t="s">
        <v>47</v>
      </c>
      <c r="DL11" s="49" t="s">
        <v>47</v>
      </c>
      <c r="DM11" s="49" t="s">
        <v>47</v>
      </c>
      <c r="DN11" s="49" t="s">
        <v>47</v>
      </c>
      <c r="DO11" s="49" t="s">
        <v>47</v>
      </c>
      <c r="DP11" s="49" t="s">
        <v>47</v>
      </c>
      <c r="DQ11" s="49" t="s">
        <v>47</v>
      </c>
      <c r="DR11" s="49" t="s">
        <v>47</v>
      </c>
      <c r="DS11" s="49" t="s">
        <v>47</v>
      </c>
      <c r="DT11" s="49" t="s">
        <v>47</v>
      </c>
      <c r="DU11" s="49" t="s">
        <v>47</v>
      </c>
      <c r="DV11" s="49" t="s">
        <v>47</v>
      </c>
      <c r="DW11" s="49" t="s">
        <v>47</v>
      </c>
      <c r="DX11" s="49" t="s">
        <v>47</v>
      </c>
      <c r="DY11" s="49" t="s">
        <v>47</v>
      </c>
      <c r="DZ11" s="49" t="s">
        <v>47</v>
      </c>
      <c r="EA11" s="49" t="s">
        <v>47</v>
      </c>
      <c r="EB11" s="49" t="s">
        <v>47</v>
      </c>
      <c r="EC11" s="49" t="s">
        <v>47</v>
      </c>
      <c r="ED11" s="49" t="s">
        <v>47</v>
      </c>
      <c r="EE11" s="49" t="s">
        <v>47</v>
      </c>
      <c r="EF11" s="49" t="s">
        <v>47</v>
      </c>
      <c r="EG11" s="49" t="s">
        <v>47</v>
      </c>
      <c r="EH11" s="49" t="s">
        <v>47</v>
      </c>
      <c r="EI11" s="49" t="s">
        <v>47</v>
      </c>
      <c r="EJ11" s="49" t="s">
        <v>47</v>
      </c>
      <c r="EK11" s="49" t="s">
        <v>47</v>
      </c>
      <c r="EL11" s="49" t="s">
        <v>47</v>
      </c>
      <c r="EM11" s="49" t="s">
        <v>47</v>
      </c>
      <c r="EN11" s="49" t="s">
        <v>47</v>
      </c>
      <c r="EO11" s="49" t="s">
        <v>47</v>
      </c>
      <c r="EP11" s="49" t="s">
        <v>47</v>
      </c>
      <c r="EQ11" s="49" t="s">
        <v>47</v>
      </c>
      <c r="ER11" s="49" t="s">
        <v>47</v>
      </c>
      <c r="ES11" s="49" t="s">
        <v>47</v>
      </c>
      <c r="ET11" s="170" t="s">
        <v>47</v>
      </c>
      <c r="EU11" s="170" t="s">
        <v>47</v>
      </c>
      <c r="EV11" s="49" t="s">
        <v>47</v>
      </c>
      <c r="EW11" s="49" t="s">
        <v>47</v>
      </c>
      <c r="EX11" s="49" t="s">
        <v>47</v>
      </c>
      <c r="EY11" s="49" t="s">
        <v>47</v>
      </c>
      <c r="EZ11" s="49" t="s">
        <v>47</v>
      </c>
      <c r="FA11" s="49" t="s">
        <v>47</v>
      </c>
      <c r="FB11" s="49" t="s">
        <v>47</v>
      </c>
      <c r="FC11" s="49" t="s">
        <v>47</v>
      </c>
      <c r="FD11" s="49" t="s">
        <v>47</v>
      </c>
      <c r="FE11" s="49" t="s">
        <v>47</v>
      </c>
      <c r="FF11" s="49" t="s">
        <v>47</v>
      </c>
      <c r="FG11" s="49" t="s">
        <v>47</v>
      </c>
      <c r="FH11" s="49" t="s">
        <v>47</v>
      </c>
      <c r="FI11" s="49" t="s">
        <v>47</v>
      </c>
      <c r="FJ11" s="49" t="s">
        <v>47</v>
      </c>
      <c r="FK11" s="49" t="s">
        <v>47</v>
      </c>
      <c r="FL11" s="49" t="s">
        <v>47</v>
      </c>
      <c r="FM11" s="49" t="s">
        <v>47</v>
      </c>
      <c r="FN11" s="49" t="s">
        <v>47</v>
      </c>
      <c r="FO11" s="49" t="s">
        <v>47</v>
      </c>
      <c r="FP11" s="49" t="s">
        <v>47</v>
      </c>
      <c r="FQ11" s="49" t="s">
        <v>47</v>
      </c>
      <c r="FR11" s="49" t="s">
        <v>47</v>
      </c>
      <c r="FS11" s="49" t="s">
        <v>47</v>
      </c>
      <c r="FT11" s="49" t="s">
        <v>47</v>
      </c>
      <c r="FU11" s="49" t="s">
        <v>47</v>
      </c>
      <c r="FV11" s="49" t="s">
        <v>47</v>
      </c>
      <c r="FW11" s="13"/>
      <c r="FX11" s="13"/>
      <c r="FY11" s="13"/>
      <c r="FZ11" s="13"/>
      <c r="GA11" s="13"/>
      <c r="GB11" s="13"/>
      <c r="GC11" s="13"/>
      <c r="GD11" s="13"/>
      <c r="GE11" s="13"/>
      <c r="GF11" s="13"/>
      <c r="GG11" s="13"/>
      <c r="GH11" s="13"/>
      <c r="GI11" s="13"/>
      <c r="GJ11" s="13"/>
      <c r="GK11" s="13"/>
      <c r="GL11" s="13"/>
      <c r="GM11" s="13"/>
      <c r="GN11" s="13"/>
      <c r="GO11" s="13"/>
    </row>
    <row r="12" customFormat="false" ht="15.75" hidden="false" customHeight="false" outlineLevel="0" collapsed="false">
      <c r="A12" s="20" t="s">
        <v>148</v>
      </c>
      <c r="B12" s="184" t="s">
        <v>33</v>
      </c>
      <c r="C12" s="29" t="s">
        <v>41</v>
      </c>
      <c r="D12" s="29" t="s">
        <v>41</v>
      </c>
      <c r="E12" s="29" t="s">
        <v>41</v>
      </c>
      <c r="F12" s="184" t="s">
        <v>33</v>
      </c>
      <c r="G12" s="184" t="s">
        <v>33</v>
      </c>
      <c r="H12" s="184" t="s">
        <v>33</v>
      </c>
      <c r="I12" s="184" t="s">
        <v>33</v>
      </c>
      <c r="J12" s="184" t="s">
        <v>33</v>
      </c>
      <c r="K12" s="184" t="s">
        <v>33</v>
      </c>
      <c r="L12" s="184" t="s">
        <v>33</v>
      </c>
      <c r="M12" s="184" t="s">
        <v>33</v>
      </c>
      <c r="N12" s="184" t="s">
        <v>33</v>
      </c>
      <c r="O12" s="184" t="s">
        <v>843</v>
      </c>
      <c r="P12" s="184" t="s">
        <v>33</v>
      </c>
      <c r="Q12" s="184" t="s">
        <v>33</v>
      </c>
      <c r="R12" s="184" t="s">
        <v>33</v>
      </c>
      <c r="S12" s="184" t="s">
        <v>33</v>
      </c>
      <c r="T12" s="184" t="s">
        <v>33</v>
      </c>
      <c r="U12" s="184" t="s">
        <v>33</v>
      </c>
      <c r="V12" s="184" t="s">
        <v>33</v>
      </c>
      <c r="W12" s="184" t="s">
        <v>33</v>
      </c>
      <c r="X12" s="29" t="s">
        <v>41</v>
      </c>
      <c r="Y12" s="184" t="s">
        <v>33</v>
      </c>
      <c r="Z12" s="184" t="s">
        <v>33</v>
      </c>
      <c r="AA12" s="184" t="s">
        <v>33</v>
      </c>
      <c r="AB12" s="184" t="s">
        <v>33</v>
      </c>
      <c r="AC12" s="45" t="s">
        <v>37</v>
      </c>
      <c r="AD12" s="184" t="s">
        <v>33</v>
      </c>
      <c r="AE12" s="184" t="s">
        <v>33</v>
      </c>
      <c r="AF12" s="184" t="s">
        <v>33</v>
      </c>
      <c r="AG12" s="184" t="s">
        <v>33</v>
      </c>
      <c r="AH12" s="184" t="s">
        <v>33</v>
      </c>
      <c r="AI12" s="184" t="s">
        <v>33</v>
      </c>
      <c r="AJ12" s="184" t="s">
        <v>33</v>
      </c>
      <c r="AK12" s="184" t="s">
        <v>33</v>
      </c>
      <c r="AL12" s="184" t="s">
        <v>33</v>
      </c>
      <c r="AM12" s="184" t="s">
        <v>33</v>
      </c>
      <c r="AN12" s="184" t="s">
        <v>33</v>
      </c>
      <c r="AO12" s="184" t="s">
        <v>33</v>
      </c>
      <c r="AP12" s="184" t="s">
        <v>33</v>
      </c>
      <c r="AQ12" s="184" t="s">
        <v>33</v>
      </c>
      <c r="AR12" s="184" t="s">
        <v>33</v>
      </c>
      <c r="AS12" s="184" t="s">
        <v>33</v>
      </c>
      <c r="AT12" s="184" t="s">
        <v>33</v>
      </c>
      <c r="AU12" s="184" t="s">
        <v>33</v>
      </c>
      <c r="AV12" s="184" t="s">
        <v>33</v>
      </c>
      <c r="AW12" s="184" t="s">
        <v>33</v>
      </c>
      <c r="AX12" s="184" t="s">
        <v>33</v>
      </c>
      <c r="AY12" s="184" t="s">
        <v>33</v>
      </c>
      <c r="AZ12" s="184" t="s">
        <v>33</v>
      </c>
      <c r="BA12" s="184" t="s">
        <v>33</v>
      </c>
      <c r="BB12" s="184" t="s">
        <v>33</v>
      </c>
      <c r="BC12" s="184" t="s">
        <v>33</v>
      </c>
      <c r="BD12" s="184" t="s">
        <v>33</v>
      </c>
      <c r="BE12" s="184" t="s">
        <v>33</v>
      </c>
      <c r="BF12" s="184" t="s">
        <v>33</v>
      </c>
      <c r="BG12" s="184" t="s">
        <v>33</v>
      </c>
      <c r="BH12" s="184" t="s">
        <v>33</v>
      </c>
      <c r="BI12" s="184" t="s">
        <v>33</v>
      </c>
      <c r="BJ12" s="184" t="s">
        <v>33</v>
      </c>
      <c r="BK12" s="184" t="s">
        <v>33</v>
      </c>
      <c r="BL12" s="184" t="s">
        <v>33</v>
      </c>
      <c r="BM12" s="184" t="s">
        <v>33</v>
      </c>
      <c r="BN12" s="184" t="s">
        <v>33</v>
      </c>
      <c r="BO12" s="184" t="s">
        <v>33</v>
      </c>
      <c r="BP12" s="184" t="s">
        <v>33</v>
      </c>
      <c r="BQ12" s="184" t="s">
        <v>33</v>
      </c>
      <c r="BR12" s="184" t="s">
        <v>33</v>
      </c>
      <c r="BS12" s="184" t="s">
        <v>33</v>
      </c>
      <c r="BT12" s="184" t="s">
        <v>33</v>
      </c>
      <c r="BU12" s="184" t="s">
        <v>33</v>
      </c>
      <c r="BV12" s="184" t="s">
        <v>33</v>
      </c>
      <c r="BW12" s="184" t="s">
        <v>33</v>
      </c>
      <c r="BX12" s="184" t="s">
        <v>33</v>
      </c>
      <c r="BY12" s="184" t="s">
        <v>33</v>
      </c>
      <c r="BZ12" s="184" t="s">
        <v>33</v>
      </c>
      <c r="CA12" s="184" t="s">
        <v>33</v>
      </c>
      <c r="CB12" s="184" t="s">
        <v>33</v>
      </c>
      <c r="CC12" s="184" t="s">
        <v>33</v>
      </c>
      <c r="CD12" s="184" t="s">
        <v>33</v>
      </c>
      <c r="CE12" s="184" t="s">
        <v>33</v>
      </c>
      <c r="CF12" s="184" t="s">
        <v>33</v>
      </c>
      <c r="CG12" s="184" t="s">
        <v>33</v>
      </c>
      <c r="CH12" s="184" t="s">
        <v>33</v>
      </c>
      <c r="CI12" s="184" t="s">
        <v>33</v>
      </c>
      <c r="CJ12" s="184" t="s">
        <v>33</v>
      </c>
      <c r="CK12" s="184" t="s">
        <v>33</v>
      </c>
      <c r="CL12" s="184" t="s">
        <v>33</v>
      </c>
      <c r="CM12" s="184" t="s">
        <v>33</v>
      </c>
      <c r="CN12" s="184" t="s">
        <v>33</v>
      </c>
      <c r="CO12" s="184" t="s">
        <v>33</v>
      </c>
      <c r="CP12" s="13" t="s">
        <v>33</v>
      </c>
      <c r="CQ12" s="13" t="s">
        <v>33</v>
      </c>
      <c r="CR12" s="13" t="s">
        <v>33</v>
      </c>
      <c r="CS12" s="13" t="s">
        <v>33</v>
      </c>
      <c r="CT12" s="13" t="s">
        <v>33</v>
      </c>
      <c r="CU12" s="13" t="s">
        <v>33</v>
      </c>
      <c r="CV12" s="170" t="s">
        <v>33</v>
      </c>
      <c r="CW12" s="170" t="s">
        <v>33</v>
      </c>
      <c r="CX12" s="49" t="s">
        <v>33</v>
      </c>
      <c r="CY12" s="49" t="s">
        <v>33</v>
      </c>
      <c r="CZ12" s="49" t="s">
        <v>33</v>
      </c>
      <c r="DA12" s="49" t="s">
        <v>33</v>
      </c>
      <c r="DB12" s="49" t="s">
        <v>33</v>
      </c>
      <c r="DC12" s="49" t="s">
        <v>33</v>
      </c>
      <c r="DD12" s="49" t="s">
        <v>33</v>
      </c>
      <c r="DE12" s="49" t="s">
        <v>33</v>
      </c>
      <c r="DF12" s="49" t="s">
        <v>33</v>
      </c>
      <c r="DG12" s="49" t="s">
        <v>33</v>
      </c>
      <c r="DH12" s="49" t="s">
        <v>33</v>
      </c>
      <c r="DI12" s="49" t="s">
        <v>33</v>
      </c>
      <c r="DJ12" s="49" t="s">
        <v>33</v>
      </c>
      <c r="DK12" s="49" t="s">
        <v>33</v>
      </c>
      <c r="DL12" s="49" t="s">
        <v>33</v>
      </c>
      <c r="DM12" s="49" t="s">
        <v>33</v>
      </c>
      <c r="DN12" s="49" t="s">
        <v>33</v>
      </c>
      <c r="DO12" s="49" t="s">
        <v>33</v>
      </c>
      <c r="DP12" s="49" t="s">
        <v>33</v>
      </c>
      <c r="DQ12" s="49" t="s">
        <v>33</v>
      </c>
      <c r="DR12" s="49" t="s">
        <v>33</v>
      </c>
      <c r="DS12" s="49" t="s">
        <v>33</v>
      </c>
      <c r="DT12" s="49" t="s">
        <v>33</v>
      </c>
      <c r="DU12" s="49" t="s">
        <v>33</v>
      </c>
      <c r="DV12" s="49" t="s">
        <v>33</v>
      </c>
      <c r="DW12" s="49" t="s">
        <v>33</v>
      </c>
      <c r="DX12" s="49" t="s">
        <v>33</v>
      </c>
      <c r="DY12" s="49" t="s">
        <v>33</v>
      </c>
      <c r="DZ12" s="49" t="s">
        <v>33</v>
      </c>
      <c r="EA12" s="49" t="s">
        <v>33</v>
      </c>
      <c r="EB12" s="49" t="s">
        <v>33</v>
      </c>
      <c r="EC12" s="49" t="s">
        <v>33</v>
      </c>
      <c r="ED12" s="49" t="s">
        <v>33</v>
      </c>
      <c r="EE12" s="49" t="s">
        <v>33</v>
      </c>
      <c r="EF12" s="49" t="s">
        <v>33</v>
      </c>
      <c r="EG12" s="49" t="s">
        <v>33</v>
      </c>
      <c r="EH12" s="49" t="s">
        <v>33</v>
      </c>
      <c r="EI12" s="49" t="s">
        <v>33</v>
      </c>
      <c r="EJ12" s="49" t="s">
        <v>33</v>
      </c>
      <c r="EK12" s="49" t="s">
        <v>33</v>
      </c>
      <c r="EL12" s="49" t="s">
        <v>33</v>
      </c>
      <c r="EM12" s="49" t="s">
        <v>33</v>
      </c>
      <c r="EN12" s="49" t="s">
        <v>33</v>
      </c>
      <c r="EO12" s="49" t="s">
        <v>33</v>
      </c>
      <c r="EP12" s="49" t="s">
        <v>33</v>
      </c>
      <c r="EQ12" s="49" t="s">
        <v>33</v>
      </c>
      <c r="ER12" s="49" t="s">
        <v>33</v>
      </c>
      <c r="ES12" s="49" t="s">
        <v>33</v>
      </c>
      <c r="ET12" s="49" t="s">
        <v>33</v>
      </c>
      <c r="EU12" s="170" t="s">
        <v>33</v>
      </c>
      <c r="EV12" s="49" t="s">
        <v>33</v>
      </c>
      <c r="EW12" s="49" t="s">
        <v>33</v>
      </c>
      <c r="EX12" s="49" t="s">
        <v>33</v>
      </c>
      <c r="EY12" s="49" t="s">
        <v>33</v>
      </c>
      <c r="EZ12" s="49" t="s">
        <v>33</v>
      </c>
      <c r="FA12" s="49" t="s">
        <v>33</v>
      </c>
      <c r="FB12" s="49" t="s">
        <v>33</v>
      </c>
      <c r="FC12" s="49" t="s">
        <v>33</v>
      </c>
      <c r="FD12" s="49" t="s">
        <v>33</v>
      </c>
      <c r="FE12" s="13" t="s">
        <v>33</v>
      </c>
      <c r="FF12" s="13" t="s">
        <v>33</v>
      </c>
      <c r="FG12" s="13" t="s">
        <v>33</v>
      </c>
      <c r="FH12" s="13" t="s">
        <v>33</v>
      </c>
      <c r="FI12" s="49" t="s">
        <v>33</v>
      </c>
      <c r="FJ12" s="49" t="s">
        <v>33</v>
      </c>
      <c r="FK12" s="49" t="s">
        <v>33</v>
      </c>
      <c r="FL12" s="49" t="s">
        <v>33</v>
      </c>
      <c r="FM12" s="49" t="s">
        <v>41</v>
      </c>
      <c r="FN12" s="49" t="s">
        <v>41</v>
      </c>
      <c r="FO12" s="49" t="s">
        <v>41</v>
      </c>
      <c r="FP12" s="49" t="s">
        <v>41</v>
      </c>
      <c r="FQ12" s="49" t="s">
        <v>41</v>
      </c>
      <c r="FR12" s="49" t="s">
        <v>41</v>
      </c>
      <c r="FS12" s="49" t="s">
        <v>41</v>
      </c>
      <c r="FT12" s="49" t="s">
        <v>41</v>
      </c>
      <c r="FU12" s="49" t="s">
        <v>41</v>
      </c>
      <c r="FV12" s="49" t="s">
        <v>41</v>
      </c>
      <c r="FW12" s="49" t="s">
        <v>41</v>
      </c>
      <c r="FX12" s="49" t="s">
        <v>41</v>
      </c>
      <c r="FY12" s="49" t="s">
        <v>41</v>
      </c>
      <c r="FZ12" s="49" t="s">
        <v>41</v>
      </c>
      <c r="GA12" s="49" t="s">
        <v>41</v>
      </c>
      <c r="GB12" s="49" t="s">
        <v>41</v>
      </c>
      <c r="GC12" s="49" t="s">
        <v>41</v>
      </c>
      <c r="GD12" s="13" t="s">
        <v>41</v>
      </c>
      <c r="GE12" s="13" t="s">
        <v>41</v>
      </c>
      <c r="GF12" s="13" t="s">
        <v>41</v>
      </c>
      <c r="GG12" s="13" t="s">
        <v>41</v>
      </c>
      <c r="GH12" s="13" t="s">
        <v>41</v>
      </c>
      <c r="GI12" s="13" t="s">
        <v>41</v>
      </c>
      <c r="GJ12" s="13" t="s">
        <v>41</v>
      </c>
      <c r="GK12" s="13"/>
      <c r="GL12" s="13"/>
      <c r="GM12" s="13"/>
      <c r="GN12" s="13"/>
      <c r="GO12" s="13"/>
    </row>
    <row r="13" customFormat="false" ht="15.75" hidden="true" customHeight="false" outlineLevel="0" collapsed="false">
      <c r="A13" s="20" t="s">
        <v>151</v>
      </c>
      <c r="B13" s="184" t="s">
        <v>33</v>
      </c>
      <c r="C13" s="184" t="s">
        <v>33</v>
      </c>
      <c r="D13" s="184" t="s">
        <v>33</v>
      </c>
      <c r="E13" s="184" t="s">
        <v>33</v>
      </c>
      <c r="F13" s="184" t="s">
        <v>33</v>
      </c>
      <c r="G13" s="184" t="s">
        <v>33</v>
      </c>
      <c r="H13" s="184" t="s">
        <v>33</v>
      </c>
      <c r="I13" s="184" t="s">
        <v>33</v>
      </c>
      <c r="J13" s="184" t="s">
        <v>33</v>
      </c>
      <c r="K13" s="184" t="s">
        <v>33</v>
      </c>
      <c r="L13" s="184" t="s">
        <v>33</v>
      </c>
      <c r="M13" s="184" t="s">
        <v>33</v>
      </c>
      <c r="N13" s="184" t="s">
        <v>33</v>
      </c>
      <c r="O13" s="184" t="s">
        <v>33</v>
      </c>
      <c r="P13" s="184" t="s">
        <v>843</v>
      </c>
      <c r="Q13" s="184" t="s">
        <v>33</v>
      </c>
      <c r="R13" s="184" t="s">
        <v>33</v>
      </c>
      <c r="S13" s="184" t="s">
        <v>33</v>
      </c>
      <c r="T13" s="184" t="s">
        <v>33</v>
      </c>
      <c r="U13" s="184" t="s">
        <v>33</v>
      </c>
      <c r="V13" s="184" t="s">
        <v>33</v>
      </c>
      <c r="W13" s="184" t="s">
        <v>33</v>
      </c>
      <c r="X13" s="184" t="s">
        <v>33</v>
      </c>
      <c r="Y13" s="184" t="s">
        <v>33</v>
      </c>
      <c r="Z13" s="184" t="s">
        <v>33</v>
      </c>
      <c r="AA13" s="184" t="s">
        <v>33</v>
      </c>
      <c r="AB13" s="184" t="s">
        <v>33</v>
      </c>
      <c r="AC13" s="29" t="s">
        <v>41</v>
      </c>
      <c r="AD13" s="45" t="s">
        <v>37</v>
      </c>
      <c r="AE13" s="184" t="s">
        <v>33</v>
      </c>
      <c r="AF13" s="184" t="s">
        <v>33</v>
      </c>
      <c r="AG13" s="184" t="s">
        <v>33</v>
      </c>
      <c r="AH13" s="184" t="s">
        <v>33</v>
      </c>
      <c r="AI13" s="29" t="s">
        <v>41</v>
      </c>
      <c r="AJ13" s="184" t="s">
        <v>33</v>
      </c>
      <c r="AK13" s="184" t="s">
        <v>33</v>
      </c>
      <c r="AL13" s="184" t="s">
        <v>33</v>
      </c>
      <c r="AM13" s="184" t="s">
        <v>33</v>
      </c>
      <c r="AN13" s="184" t="s">
        <v>33</v>
      </c>
      <c r="AO13" s="184" t="s">
        <v>33</v>
      </c>
      <c r="AP13" s="184" t="s">
        <v>33</v>
      </c>
      <c r="AQ13" s="184" t="s">
        <v>33</v>
      </c>
      <c r="AR13" s="184" t="s">
        <v>33</v>
      </c>
      <c r="AS13" s="189" t="s">
        <v>41</v>
      </c>
      <c r="AT13" s="29" t="s">
        <v>41</v>
      </c>
      <c r="AU13" s="189" t="s">
        <v>41</v>
      </c>
      <c r="AV13" s="189" t="s">
        <v>41</v>
      </c>
      <c r="AW13" s="189" t="s">
        <v>41</v>
      </c>
      <c r="AX13" s="189" t="s">
        <v>41</v>
      </c>
      <c r="AY13" s="189" t="s">
        <v>41</v>
      </c>
      <c r="AZ13" s="189" t="s">
        <v>41</v>
      </c>
      <c r="BA13" s="189" t="s">
        <v>41</v>
      </c>
      <c r="BB13" s="189" t="s">
        <v>41</v>
      </c>
      <c r="BC13" s="189" t="s">
        <v>41</v>
      </c>
      <c r="BD13" s="189" t="s">
        <v>41</v>
      </c>
      <c r="BE13" s="189" t="s">
        <v>41</v>
      </c>
      <c r="BF13" s="189" t="s">
        <v>41</v>
      </c>
      <c r="BG13" s="189" t="s">
        <v>41</v>
      </c>
      <c r="BH13" s="189" t="s">
        <v>41</v>
      </c>
      <c r="BI13" s="189" t="s">
        <v>41</v>
      </c>
      <c r="BJ13" s="189" t="s">
        <v>41</v>
      </c>
      <c r="BK13" s="189" t="s">
        <v>41</v>
      </c>
      <c r="BL13" s="189" t="s">
        <v>41</v>
      </c>
      <c r="BM13" s="189" t="s">
        <v>41</v>
      </c>
      <c r="BN13" s="189" t="s">
        <v>41</v>
      </c>
      <c r="BO13" s="189" t="s">
        <v>41</v>
      </c>
      <c r="BP13" s="189" t="s">
        <v>41</v>
      </c>
      <c r="BQ13" s="189" t="s">
        <v>41</v>
      </c>
      <c r="BR13" s="189" t="s">
        <v>41</v>
      </c>
      <c r="BS13" s="189" t="s">
        <v>41</v>
      </c>
      <c r="BT13" s="189" t="s">
        <v>41</v>
      </c>
      <c r="BU13" s="189" t="s">
        <v>41</v>
      </c>
      <c r="BV13" s="189" t="s">
        <v>41</v>
      </c>
      <c r="BW13" s="189" t="s">
        <v>41</v>
      </c>
      <c r="BX13" s="189" t="s">
        <v>41</v>
      </c>
      <c r="BY13" s="189" t="s">
        <v>41</v>
      </c>
      <c r="BZ13" s="189" t="s">
        <v>41</v>
      </c>
      <c r="CA13" s="189" t="s">
        <v>41</v>
      </c>
      <c r="CB13" s="189" t="s">
        <v>41</v>
      </c>
      <c r="CC13" s="189" t="s">
        <v>41</v>
      </c>
      <c r="CD13" s="189" t="s">
        <v>41</v>
      </c>
      <c r="CE13" s="189" t="s">
        <v>41</v>
      </c>
      <c r="CF13" s="189" t="s">
        <v>41</v>
      </c>
      <c r="CG13" s="189" t="s">
        <v>41</v>
      </c>
      <c r="CH13" s="189" t="s">
        <v>41</v>
      </c>
      <c r="CI13" s="189" t="s">
        <v>41</v>
      </c>
      <c r="CJ13" s="189" t="s">
        <v>41</v>
      </c>
      <c r="CK13" s="189" t="s">
        <v>41</v>
      </c>
      <c r="CL13" s="189" t="s">
        <v>41</v>
      </c>
      <c r="CM13" s="203" t="s">
        <v>37</v>
      </c>
      <c r="CN13" s="203" t="s">
        <v>37</v>
      </c>
      <c r="CO13" s="203" t="s">
        <v>37</v>
      </c>
      <c r="CP13" s="203" t="s">
        <v>37</v>
      </c>
      <c r="CQ13" s="203" t="s">
        <v>37</v>
      </c>
      <c r="CR13" s="203" t="s">
        <v>37</v>
      </c>
      <c r="CS13" s="203" t="s">
        <v>37</v>
      </c>
      <c r="CT13" s="203" t="s">
        <v>37</v>
      </c>
      <c r="CU13" s="203" t="s">
        <v>37</v>
      </c>
      <c r="CV13" s="203" t="s">
        <v>37</v>
      </c>
      <c r="CW13" s="203" t="s">
        <v>37</v>
      </c>
      <c r="CX13" s="49" t="s">
        <v>37</v>
      </c>
      <c r="CY13" s="203" t="s">
        <v>37</v>
      </c>
      <c r="CZ13" s="203" t="s">
        <v>37</v>
      </c>
      <c r="DA13" s="203" t="s">
        <v>37</v>
      </c>
      <c r="DB13" s="203" t="s">
        <v>37</v>
      </c>
      <c r="DC13" s="49" t="s">
        <v>37</v>
      </c>
      <c r="DD13" s="49" t="s">
        <v>37</v>
      </c>
      <c r="DE13" s="49" t="s">
        <v>41</v>
      </c>
      <c r="DF13" s="49" t="s">
        <v>33</v>
      </c>
      <c r="DG13" s="49" t="s">
        <v>33</v>
      </c>
      <c r="DH13" s="49" t="s">
        <v>33</v>
      </c>
      <c r="DI13" s="49" t="s">
        <v>33</v>
      </c>
      <c r="DJ13" s="49" t="s">
        <v>33</v>
      </c>
      <c r="DK13" s="49" t="s">
        <v>33</v>
      </c>
      <c r="DL13" s="49" t="s">
        <v>47</v>
      </c>
      <c r="DM13" s="49" t="s">
        <v>47</v>
      </c>
      <c r="DN13" s="49" t="s">
        <v>47</v>
      </c>
      <c r="DO13" s="49" t="s">
        <v>47</v>
      </c>
      <c r="DP13" s="49" t="s">
        <v>47</v>
      </c>
      <c r="DQ13" s="49" t="s">
        <v>47</v>
      </c>
      <c r="DR13" s="49" t="s">
        <v>47</v>
      </c>
      <c r="DS13" s="49" t="s">
        <v>47</v>
      </c>
      <c r="DT13" s="49" t="s">
        <v>47</v>
      </c>
      <c r="DU13" s="49" t="s">
        <v>47</v>
      </c>
      <c r="DV13" s="49" t="s">
        <v>47</v>
      </c>
      <c r="DW13" s="170" t="s">
        <v>47</v>
      </c>
      <c r="DX13" s="170" t="s">
        <v>47</v>
      </c>
      <c r="DY13" s="170" t="s">
        <v>47</v>
      </c>
      <c r="DZ13" s="170" t="s">
        <v>47</v>
      </c>
      <c r="EA13" s="170" t="s">
        <v>47</v>
      </c>
      <c r="EB13" s="170" t="s">
        <v>47</v>
      </c>
      <c r="EC13" s="170" t="s">
        <v>47</v>
      </c>
      <c r="ED13" s="170" t="s">
        <v>47</v>
      </c>
      <c r="EE13" s="170" t="s">
        <v>47</v>
      </c>
      <c r="EF13" s="170" t="s">
        <v>47</v>
      </c>
      <c r="EG13" s="170" t="s">
        <v>47</v>
      </c>
      <c r="EH13" s="170" t="s">
        <v>47</v>
      </c>
      <c r="EI13" s="170" t="s">
        <v>47</v>
      </c>
      <c r="EJ13" s="170" t="s">
        <v>47</v>
      </c>
      <c r="EK13" s="170" t="s">
        <v>47</v>
      </c>
      <c r="EL13" s="170" t="s">
        <v>47</v>
      </c>
      <c r="EM13" s="170" t="s">
        <v>47</v>
      </c>
      <c r="EN13" s="170" t="s">
        <v>47</v>
      </c>
      <c r="EO13" s="170" t="s">
        <v>47</v>
      </c>
      <c r="EP13" s="170" t="s">
        <v>47</v>
      </c>
      <c r="EQ13" s="170" t="s">
        <v>47</v>
      </c>
      <c r="ER13" s="170" t="s">
        <v>47</v>
      </c>
      <c r="ES13" s="170" t="s">
        <v>47</v>
      </c>
      <c r="ET13" s="170" t="s">
        <v>47</v>
      </c>
      <c r="EU13" s="170" t="s">
        <v>47</v>
      </c>
      <c r="EV13" s="49" t="s">
        <v>47</v>
      </c>
      <c r="EW13" s="49" t="s">
        <v>47</v>
      </c>
      <c r="EX13" s="49" t="s">
        <v>47</v>
      </c>
      <c r="EY13" s="49" t="s">
        <v>47</v>
      </c>
      <c r="EZ13" s="49" t="s">
        <v>47</v>
      </c>
      <c r="FA13" s="49" t="s">
        <v>47</v>
      </c>
      <c r="FB13" s="49" t="s">
        <v>47</v>
      </c>
      <c r="FC13" s="49" t="s">
        <v>47</v>
      </c>
      <c r="FD13" s="49" t="s">
        <v>47</v>
      </c>
      <c r="FE13" s="49" t="s">
        <v>47</v>
      </c>
      <c r="FF13" s="49" t="s">
        <v>47</v>
      </c>
      <c r="FG13" s="49" t="s">
        <v>47</v>
      </c>
      <c r="FH13" s="49" t="s">
        <v>47</v>
      </c>
      <c r="FI13" s="49" t="s">
        <v>47</v>
      </c>
      <c r="FJ13" s="49" t="s">
        <v>47</v>
      </c>
      <c r="FK13" s="49" t="s">
        <v>47</v>
      </c>
      <c r="FL13" s="49" t="s">
        <v>47</v>
      </c>
      <c r="FM13" s="49" t="s">
        <v>47</v>
      </c>
      <c r="FN13" s="49" t="s">
        <v>47</v>
      </c>
      <c r="FO13" s="49" t="s">
        <v>47</v>
      </c>
      <c r="FP13" s="49" t="s">
        <v>47</v>
      </c>
      <c r="FQ13" s="49" t="s">
        <v>47</v>
      </c>
      <c r="FR13" s="49" t="s">
        <v>47</v>
      </c>
      <c r="FS13" s="49" t="s">
        <v>47</v>
      </c>
      <c r="FT13" s="49" t="s">
        <v>47</v>
      </c>
      <c r="FU13" s="49" t="s">
        <v>47</v>
      </c>
      <c r="FV13" s="49" t="s">
        <v>47</v>
      </c>
      <c r="FW13" s="13"/>
      <c r="FX13" s="13"/>
      <c r="FY13" s="13"/>
      <c r="FZ13" s="13"/>
      <c r="GA13" s="13"/>
      <c r="GB13" s="13"/>
      <c r="GC13" s="13"/>
      <c r="GD13" s="13"/>
      <c r="GE13" s="13"/>
      <c r="GF13" s="13"/>
      <c r="GG13" s="13"/>
      <c r="GH13" s="13"/>
      <c r="GI13" s="13"/>
      <c r="GJ13" s="13"/>
      <c r="GK13" s="13"/>
      <c r="GL13" s="13"/>
      <c r="GM13" s="13"/>
      <c r="GN13" s="13"/>
      <c r="GO13" s="13"/>
    </row>
    <row r="14" customFormat="false" ht="15.75" hidden="false" customHeight="false" outlineLevel="0" collapsed="false">
      <c r="A14" s="20" t="s">
        <v>154</v>
      </c>
      <c r="B14" s="20"/>
      <c r="C14" s="20"/>
      <c r="D14" s="20"/>
      <c r="E14" s="20"/>
      <c r="F14" s="20"/>
      <c r="G14" s="20"/>
      <c r="H14" s="20"/>
      <c r="I14" s="20"/>
      <c r="J14" s="20"/>
      <c r="K14" s="20"/>
      <c r="L14" s="20"/>
      <c r="M14" s="20"/>
      <c r="N14" s="20"/>
      <c r="O14" s="20"/>
      <c r="P14" s="20"/>
      <c r="Q14" s="45" t="s">
        <v>37</v>
      </c>
      <c r="R14" s="45" t="s">
        <v>37</v>
      </c>
      <c r="S14" s="184" t="s">
        <v>33</v>
      </c>
      <c r="T14" s="184" t="s">
        <v>33</v>
      </c>
      <c r="U14" s="184" t="s">
        <v>33</v>
      </c>
      <c r="V14" s="184" t="s">
        <v>33</v>
      </c>
      <c r="W14" s="184" t="s">
        <v>33</v>
      </c>
      <c r="X14" s="184" t="s">
        <v>33</v>
      </c>
      <c r="Y14" s="184" t="s">
        <v>33</v>
      </c>
      <c r="Z14" s="184" t="s">
        <v>33</v>
      </c>
      <c r="AA14" s="184" t="s">
        <v>33</v>
      </c>
      <c r="AB14" s="184" t="s">
        <v>33</v>
      </c>
      <c r="AC14" s="184" t="s">
        <v>33</v>
      </c>
      <c r="AD14" s="184" t="s">
        <v>33</v>
      </c>
      <c r="AE14" s="184" t="s">
        <v>33</v>
      </c>
      <c r="AF14" s="184" t="s">
        <v>33</v>
      </c>
      <c r="AG14" s="184" t="s">
        <v>33</v>
      </c>
      <c r="AH14" s="184" t="s">
        <v>33</v>
      </c>
      <c r="AI14" s="184" t="s">
        <v>33</v>
      </c>
      <c r="AJ14" s="184" t="s">
        <v>33</v>
      </c>
      <c r="AK14" s="184" t="s">
        <v>33</v>
      </c>
      <c r="AL14" s="184" t="s">
        <v>33</v>
      </c>
      <c r="AM14" s="184" t="s">
        <v>33</v>
      </c>
      <c r="AN14" s="184" t="s">
        <v>33</v>
      </c>
      <c r="AO14" s="184" t="s">
        <v>33</v>
      </c>
      <c r="AP14" s="188" t="s">
        <v>33</v>
      </c>
      <c r="AQ14" s="184" t="s">
        <v>33</v>
      </c>
      <c r="AR14" s="184" t="s">
        <v>33</v>
      </c>
      <c r="AS14" s="184" t="s">
        <v>33</v>
      </c>
      <c r="AT14" s="185" t="s">
        <v>37</v>
      </c>
      <c r="AU14" s="188" t="s">
        <v>33</v>
      </c>
      <c r="AV14" s="188" t="s">
        <v>33</v>
      </c>
      <c r="AW14" s="184" t="s">
        <v>33</v>
      </c>
      <c r="AX14" s="184" t="s">
        <v>33</v>
      </c>
      <c r="AY14" s="184" t="s">
        <v>33</v>
      </c>
      <c r="AZ14" s="184" t="s">
        <v>33</v>
      </c>
      <c r="BA14" s="184" t="s">
        <v>33</v>
      </c>
      <c r="BB14" s="184" t="s">
        <v>33</v>
      </c>
      <c r="BC14" s="184" t="s">
        <v>33</v>
      </c>
      <c r="BD14" s="184" t="s">
        <v>33</v>
      </c>
      <c r="BE14" s="184" t="s">
        <v>33</v>
      </c>
      <c r="BF14" s="184" t="s">
        <v>33</v>
      </c>
      <c r="BG14" s="184" t="s">
        <v>33</v>
      </c>
      <c r="BH14" s="184" t="s">
        <v>33</v>
      </c>
      <c r="BI14" s="184" t="s">
        <v>33</v>
      </c>
      <c r="BJ14" s="184" t="s">
        <v>33</v>
      </c>
      <c r="BK14" s="184" t="s">
        <v>33</v>
      </c>
      <c r="BL14" s="184" t="s">
        <v>33</v>
      </c>
      <c r="BM14" s="184" t="s">
        <v>33</v>
      </c>
      <c r="BN14" s="184" t="s">
        <v>33</v>
      </c>
      <c r="BO14" s="184" t="s">
        <v>33</v>
      </c>
      <c r="BP14" s="184" t="s">
        <v>33</v>
      </c>
      <c r="BQ14" s="184" t="s">
        <v>33</v>
      </c>
      <c r="BR14" s="184" t="s">
        <v>33</v>
      </c>
      <c r="BS14" s="184" t="s">
        <v>33</v>
      </c>
      <c r="BT14" s="184" t="s">
        <v>33</v>
      </c>
      <c r="BU14" s="184" t="s">
        <v>33</v>
      </c>
      <c r="BV14" s="184" t="s">
        <v>33</v>
      </c>
      <c r="BW14" s="184" t="s">
        <v>33</v>
      </c>
      <c r="BX14" s="184" t="s">
        <v>33</v>
      </c>
      <c r="BY14" s="184" t="s">
        <v>33</v>
      </c>
      <c r="BZ14" s="184" t="s">
        <v>33</v>
      </c>
      <c r="CA14" s="184" t="s">
        <v>33</v>
      </c>
      <c r="CB14" s="184" t="s">
        <v>33</v>
      </c>
      <c r="CC14" s="184" t="s">
        <v>33</v>
      </c>
      <c r="CD14" s="184" t="s">
        <v>33</v>
      </c>
      <c r="CE14" s="184" t="s">
        <v>33</v>
      </c>
      <c r="CF14" s="184" t="s">
        <v>33</v>
      </c>
      <c r="CG14" s="184" t="s">
        <v>33</v>
      </c>
      <c r="CH14" s="184" t="s">
        <v>33</v>
      </c>
      <c r="CI14" s="184" t="s">
        <v>33</v>
      </c>
      <c r="CJ14" s="184" t="s">
        <v>33</v>
      </c>
      <c r="CK14" s="184" t="s">
        <v>33</v>
      </c>
      <c r="CL14" s="184" t="s">
        <v>33</v>
      </c>
      <c r="CM14" s="191" t="s">
        <v>33</v>
      </c>
      <c r="CN14" s="191" t="s">
        <v>33</v>
      </c>
      <c r="CO14" s="191" t="s">
        <v>33</v>
      </c>
      <c r="CP14" s="13" t="s">
        <v>33</v>
      </c>
      <c r="CQ14" s="13" t="s">
        <v>33</v>
      </c>
      <c r="CR14" s="13" t="s">
        <v>33</v>
      </c>
      <c r="CS14" s="49" t="s">
        <v>33</v>
      </c>
      <c r="CT14" s="49" t="s">
        <v>33</v>
      </c>
      <c r="CU14" s="49" t="s">
        <v>33</v>
      </c>
      <c r="CV14" s="170" t="s">
        <v>33</v>
      </c>
      <c r="CW14" s="170" t="s">
        <v>33</v>
      </c>
      <c r="CX14" s="49" t="s">
        <v>33</v>
      </c>
      <c r="CY14" s="49" t="s">
        <v>33</v>
      </c>
      <c r="CZ14" s="49" t="s">
        <v>33</v>
      </c>
      <c r="DA14" s="49" t="s">
        <v>33</v>
      </c>
      <c r="DB14" s="49" t="s">
        <v>33</v>
      </c>
      <c r="DC14" s="49" t="s">
        <v>33</v>
      </c>
      <c r="DD14" s="49" t="s">
        <v>33</v>
      </c>
      <c r="DE14" s="49" t="s">
        <v>33</v>
      </c>
      <c r="DF14" s="49" t="s">
        <v>33</v>
      </c>
      <c r="DG14" s="49" t="s">
        <v>33</v>
      </c>
      <c r="DH14" s="49" t="s">
        <v>33</v>
      </c>
      <c r="DI14" s="49" t="s">
        <v>33</v>
      </c>
      <c r="DJ14" s="49" t="s">
        <v>33</v>
      </c>
      <c r="DK14" s="49" t="s">
        <v>33</v>
      </c>
      <c r="DL14" s="49" t="s">
        <v>33</v>
      </c>
      <c r="DM14" s="49" t="s">
        <v>33</v>
      </c>
      <c r="DN14" s="49" t="s">
        <v>33</v>
      </c>
      <c r="DO14" s="49" t="s">
        <v>33</v>
      </c>
      <c r="DP14" s="49" t="s">
        <v>33</v>
      </c>
      <c r="DQ14" s="49" t="s">
        <v>33</v>
      </c>
      <c r="DR14" s="49" t="s">
        <v>33</v>
      </c>
      <c r="DS14" s="49" t="s">
        <v>33</v>
      </c>
      <c r="DT14" s="49" t="s">
        <v>33</v>
      </c>
      <c r="DU14" s="49" t="s">
        <v>33</v>
      </c>
      <c r="DV14" s="49" t="s">
        <v>33</v>
      </c>
      <c r="DW14" s="170" t="s">
        <v>33</v>
      </c>
      <c r="DX14" s="49" t="s">
        <v>33</v>
      </c>
      <c r="DY14" s="49" t="s">
        <v>33</v>
      </c>
      <c r="DZ14" s="49" t="s">
        <v>33</v>
      </c>
      <c r="EA14" s="49" t="s">
        <v>33</v>
      </c>
      <c r="EB14" s="49" t="s">
        <v>33</v>
      </c>
      <c r="EC14" s="49" t="s">
        <v>33</v>
      </c>
      <c r="ED14" s="49" t="s">
        <v>33</v>
      </c>
      <c r="EE14" s="49" t="s">
        <v>41</v>
      </c>
      <c r="EF14" s="49" t="s">
        <v>33</v>
      </c>
      <c r="EG14" s="49" t="s">
        <v>33</v>
      </c>
      <c r="EH14" s="49" t="s">
        <v>33</v>
      </c>
      <c r="EI14" s="49" t="s">
        <v>33</v>
      </c>
      <c r="EJ14" s="49" t="s">
        <v>33</v>
      </c>
      <c r="EK14" s="49" t="s">
        <v>33</v>
      </c>
      <c r="EL14" s="49" t="s">
        <v>33</v>
      </c>
      <c r="EM14" s="49" t="s">
        <v>33</v>
      </c>
      <c r="EN14" s="49" t="s">
        <v>33</v>
      </c>
      <c r="EO14" s="49" t="s">
        <v>41</v>
      </c>
      <c r="EP14" s="49" t="s">
        <v>41</v>
      </c>
      <c r="EQ14" s="49" t="s">
        <v>33</v>
      </c>
      <c r="ER14" s="49" t="s">
        <v>33</v>
      </c>
      <c r="ES14" s="49" t="s">
        <v>33</v>
      </c>
      <c r="ET14" s="49" t="s">
        <v>33</v>
      </c>
      <c r="EU14" s="170" t="s">
        <v>33</v>
      </c>
      <c r="EV14" s="49" t="s">
        <v>33</v>
      </c>
      <c r="EW14" s="49" t="s">
        <v>33</v>
      </c>
      <c r="EX14" s="49" t="s">
        <v>41</v>
      </c>
      <c r="EY14" s="49" t="s">
        <v>41</v>
      </c>
      <c r="EZ14" s="49" t="s">
        <v>41</v>
      </c>
      <c r="FA14" s="49" t="s">
        <v>41</v>
      </c>
      <c r="FB14" s="49" t="s">
        <v>41</v>
      </c>
      <c r="FC14" s="49" t="s">
        <v>41</v>
      </c>
      <c r="FD14" s="49" t="s">
        <v>41</v>
      </c>
      <c r="FE14" s="49" t="s">
        <v>41</v>
      </c>
      <c r="FF14" s="49" t="s">
        <v>41</v>
      </c>
      <c r="FG14" s="49" t="s">
        <v>33</v>
      </c>
      <c r="FH14" s="49" t="s">
        <v>33</v>
      </c>
      <c r="FI14" s="49" t="s">
        <v>41</v>
      </c>
      <c r="FJ14" s="49" t="s">
        <v>41</v>
      </c>
      <c r="FK14" s="49" t="s">
        <v>41</v>
      </c>
      <c r="FL14" s="49" t="s">
        <v>41</v>
      </c>
      <c r="FM14" s="49" t="s">
        <v>33</v>
      </c>
      <c r="FN14" s="49" t="s">
        <v>33</v>
      </c>
      <c r="FO14" s="49" t="s">
        <v>33</v>
      </c>
      <c r="FP14" s="49" t="s">
        <v>33</v>
      </c>
      <c r="FQ14" s="49" t="s">
        <v>33</v>
      </c>
      <c r="FR14" s="49" t="s">
        <v>33</v>
      </c>
      <c r="FS14" s="49" t="s">
        <v>33</v>
      </c>
      <c r="FT14" s="49" t="s">
        <v>33</v>
      </c>
      <c r="FU14" s="49" t="s">
        <v>33</v>
      </c>
      <c r="FV14" s="49" t="s">
        <v>33</v>
      </c>
      <c r="FW14" s="49" t="s">
        <v>33</v>
      </c>
      <c r="FX14" s="49" t="s">
        <v>33</v>
      </c>
      <c r="FY14" s="49" t="s">
        <v>33</v>
      </c>
      <c r="FZ14" s="49" t="s">
        <v>33</v>
      </c>
      <c r="GA14" s="49" t="s">
        <v>33</v>
      </c>
      <c r="GB14" s="49" t="s">
        <v>33</v>
      </c>
      <c r="GC14" s="49" t="s">
        <v>33</v>
      </c>
      <c r="GD14" s="13" t="s">
        <v>33</v>
      </c>
      <c r="GE14" s="13" t="s">
        <v>33</v>
      </c>
      <c r="GF14" s="193" t="s">
        <v>843</v>
      </c>
      <c r="GG14" s="193" t="s">
        <v>843</v>
      </c>
      <c r="GH14" s="193" t="s">
        <v>843</v>
      </c>
      <c r="GI14" s="13" t="s">
        <v>33</v>
      </c>
      <c r="GJ14" s="13" t="s">
        <v>33</v>
      </c>
      <c r="GK14" s="13"/>
      <c r="GL14" s="13"/>
      <c r="GM14" s="13"/>
      <c r="GN14" s="13"/>
      <c r="GO14" s="13"/>
    </row>
    <row r="15" customFormat="false" ht="15.75" hidden="true" customHeight="false" outlineLevel="0" collapsed="false">
      <c r="A15" s="20" t="s">
        <v>157</v>
      </c>
      <c r="B15" s="184" t="s">
        <v>33</v>
      </c>
      <c r="C15" s="184" t="s">
        <v>33</v>
      </c>
      <c r="D15" s="184" t="s">
        <v>33</v>
      </c>
      <c r="E15" s="184" t="s">
        <v>33</v>
      </c>
      <c r="F15" s="184" t="s">
        <v>33</v>
      </c>
      <c r="G15" s="184" t="s">
        <v>33</v>
      </c>
      <c r="H15" s="29" t="s">
        <v>41</v>
      </c>
      <c r="I15" s="29" t="s">
        <v>41</v>
      </c>
      <c r="J15" s="29" t="s">
        <v>41</v>
      </c>
      <c r="K15" s="184" t="s">
        <v>33</v>
      </c>
      <c r="L15" s="29" t="s">
        <v>41</v>
      </c>
      <c r="M15" s="184" t="s">
        <v>33</v>
      </c>
      <c r="N15" s="184" t="s">
        <v>33</v>
      </c>
      <c r="O15" s="184" t="s">
        <v>843</v>
      </c>
      <c r="P15" s="45" t="s">
        <v>37</v>
      </c>
      <c r="Q15" s="29" t="s">
        <v>41</v>
      </c>
      <c r="R15" s="29" t="s">
        <v>41</v>
      </c>
      <c r="S15" s="45" t="s">
        <v>37</v>
      </c>
      <c r="T15" s="45" t="s">
        <v>37</v>
      </c>
      <c r="U15" s="29" t="s">
        <v>41</v>
      </c>
      <c r="V15" s="29" t="s">
        <v>41</v>
      </c>
      <c r="W15" s="45" t="s">
        <v>37</v>
      </c>
      <c r="X15" s="184" t="s">
        <v>33</v>
      </c>
      <c r="Y15" s="29" t="s">
        <v>41</v>
      </c>
      <c r="Z15" s="29" t="s">
        <v>41</v>
      </c>
      <c r="AA15" s="184" t="s">
        <v>33</v>
      </c>
      <c r="AB15" s="184" t="s">
        <v>33</v>
      </c>
      <c r="AC15" s="45" t="s">
        <v>37</v>
      </c>
      <c r="AD15" s="45" t="s">
        <v>37</v>
      </c>
      <c r="AE15" s="184" t="s">
        <v>33</v>
      </c>
      <c r="AF15" s="184" t="s">
        <v>33</v>
      </c>
      <c r="AG15" s="184" t="s">
        <v>33</v>
      </c>
      <c r="AH15" s="184" t="s">
        <v>33</v>
      </c>
      <c r="AI15" s="184" t="s">
        <v>33</v>
      </c>
      <c r="AJ15" s="184" t="s">
        <v>33</v>
      </c>
      <c r="AK15" s="184" t="s">
        <v>33</v>
      </c>
      <c r="AL15" s="184" t="s">
        <v>33</v>
      </c>
      <c r="AM15" s="184" t="s">
        <v>33</v>
      </c>
      <c r="AN15" s="184" t="s">
        <v>33</v>
      </c>
      <c r="AO15" s="191" t="s">
        <v>33</v>
      </c>
      <c r="AP15" s="29" t="s">
        <v>41</v>
      </c>
      <c r="AQ15" s="189" t="s">
        <v>41</v>
      </c>
      <c r="AR15" s="189" t="s">
        <v>41</v>
      </c>
      <c r="AS15" s="189" t="s">
        <v>41</v>
      </c>
      <c r="AT15" s="189" t="s">
        <v>41</v>
      </c>
      <c r="AU15" s="29" t="s">
        <v>41</v>
      </c>
      <c r="AV15" s="189" t="s">
        <v>41</v>
      </c>
      <c r="AW15" s="189" t="s">
        <v>41</v>
      </c>
      <c r="AX15" s="189" t="s">
        <v>41</v>
      </c>
      <c r="AY15" s="189" t="s">
        <v>41</v>
      </c>
      <c r="AZ15" s="189" t="s">
        <v>41</v>
      </c>
      <c r="BA15" s="189" t="s">
        <v>41</v>
      </c>
      <c r="BB15" s="189" t="s">
        <v>41</v>
      </c>
      <c r="BC15" s="189" t="s">
        <v>41</v>
      </c>
      <c r="BD15" s="189" t="s">
        <v>41</v>
      </c>
      <c r="BE15" s="189" t="s">
        <v>41</v>
      </c>
      <c r="BF15" s="189" t="s">
        <v>41</v>
      </c>
      <c r="BG15" s="189" t="s">
        <v>41</v>
      </c>
      <c r="BH15" s="189" t="s">
        <v>41</v>
      </c>
      <c r="BI15" s="189" t="s">
        <v>41</v>
      </c>
      <c r="BJ15" s="189" t="s">
        <v>41</v>
      </c>
      <c r="BK15" s="189" t="s">
        <v>41</v>
      </c>
      <c r="BL15" s="189" t="s">
        <v>41</v>
      </c>
      <c r="BM15" s="189" t="s">
        <v>41</v>
      </c>
      <c r="BN15" s="189" t="s">
        <v>41</v>
      </c>
      <c r="BO15" s="189" t="s">
        <v>41</v>
      </c>
      <c r="BP15" s="189" t="s">
        <v>41</v>
      </c>
      <c r="BQ15" s="189" t="s">
        <v>41</v>
      </c>
      <c r="BR15" s="189" t="s">
        <v>41</v>
      </c>
      <c r="BS15" s="189" t="s">
        <v>41</v>
      </c>
      <c r="BT15" s="189" t="s">
        <v>41</v>
      </c>
      <c r="BU15" s="189" t="s">
        <v>41</v>
      </c>
      <c r="BV15" s="189" t="s">
        <v>41</v>
      </c>
      <c r="BW15" s="189" t="s">
        <v>41</v>
      </c>
      <c r="BX15" s="189" t="s">
        <v>41</v>
      </c>
      <c r="BY15" s="189" t="s">
        <v>41</v>
      </c>
      <c r="BZ15" s="189" t="s">
        <v>41</v>
      </c>
      <c r="CA15" s="189" t="s">
        <v>41</v>
      </c>
      <c r="CB15" s="189" t="s">
        <v>41</v>
      </c>
      <c r="CC15" s="189" t="s">
        <v>41</v>
      </c>
      <c r="CD15" s="189" t="s">
        <v>41</v>
      </c>
      <c r="CE15" s="189" t="s">
        <v>41</v>
      </c>
      <c r="CF15" s="189" t="s">
        <v>41</v>
      </c>
      <c r="CG15" s="189" t="s">
        <v>41</v>
      </c>
      <c r="CH15" s="189" t="s">
        <v>41</v>
      </c>
      <c r="CI15" s="189" t="s">
        <v>41</v>
      </c>
      <c r="CJ15" s="189" t="s">
        <v>41</v>
      </c>
      <c r="CK15" s="189" t="s">
        <v>41</v>
      </c>
      <c r="CL15" s="189" t="s">
        <v>41</v>
      </c>
      <c r="CM15" s="189" t="s">
        <v>41</v>
      </c>
      <c r="CN15" s="189" t="s">
        <v>41</v>
      </c>
      <c r="CO15" s="189" t="s">
        <v>41</v>
      </c>
      <c r="CP15" s="189" t="s">
        <v>41</v>
      </c>
      <c r="CQ15" s="189" t="s">
        <v>41</v>
      </c>
      <c r="CR15" s="189" t="s">
        <v>41</v>
      </c>
      <c r="CS15" s="189" t="s">
        <v>41</v>
      </c>
      <c r="CT15" s="189" t="s">
        <v>41</v>
      </c>
      <c r="CU15" s="189" t="s">
        <v>41</v>
      </c>
      <c r="CV15" s="189" t="s">
        <v>41</v>
      </c>
      <c r="CW15" s="189" t="s">
        <v>41</v>
      </c>
      <c r="CX15" s="49" t="s">
        <v>41</v>
      </c>
      <c r="CY15" s="49" t="s">
        <v>41</v>
      </c>
      <c r="CZ15" s="49" t="s">
        <v>41</v>
      </c>
      <c r="DA15" s="49" t="s">
        <v>41</v>
      </c>
      <c r="DB15" s="49" t="s">
        <v>41</v>
      </c>
      <c r="DC15" s="49" t="s">
        <v>41</v>
      </c>
      <c r="DD15" s="49" t="s">
        <v>41</v>
      </c>
      <c r="DE15" s="49" t="s">
        <v>41</v>
      </c>
      <c r="DF15" s="49" t="s">
        <v>41</v>
      </c>
      <c r="DG15" s="49" t="s">
        <v>41</v>
      </c>
      <c r="DH15" s="49" t="s">
        <v>41</v>
      </c>
      <c r="DI15" s="49" t="s">
        <v>41</v>
      </c>
      <c r="DJ15" s="49" t="s">
        <v>41</v>
      </c>
      <c r="DK15" s="49" t="s">
        <v>41</v>
      </c>
      <c r="DL15" s="49" t="s">
        <v>47</v>
      </c>
      <c r="DM15" s="49" t="s">
        <v>47</v>
      </c>
      <c r="DN15" s="49" t="s">
        <v>47</v>
      </c>
      <c r="DO15" s="49" t="s">
        <v>47</v>
      </c>
      <c r="DP15" s="49" t="s">
        <v>47</v>
      </c>
      <c r="DQ15" s="49" t="s">
        <v>47</v>
      </c>
      <c r="DR15" s="49" t="s">
        <v>47</v>
      </c>
      <c r="DS15" s="49" t="s">
        <v>47</v>
      </c>
      <c r="DT15" s="49" t="s">
        <v>47</v>
      </c>
      <c r="DU15" s="49" t="s">
        <v>47</v>
      </c>
      <c r="DV15" s="49" t="s">
        <v>47</v>
      </c>
      <c r="DW15" s="49" t="s">
        <v>47</v>
      </c>
      <c r="DX15" s="49" t="s">
        <v>47</v>
      </c>
      <c r="DY15" s="49" t="s">
        <v>47</v>
      </c>
      <c r="DZ15" s="49" t="s">
        <v>47</v>
      </c>
      <c r="EA15" s="49" t="s">
        <v>47</v>
      </c>
      <c r="EB15" s="49" t="s">
        <v>47</v>
      </c>
      <c r="EC15" s="49" t="s">
        <v>47</v>
      </c>
      <c r="ED15" s="49" t="s">
        <v>47</v>
      </c>
      <c r="EE15" s="49" t="s">
        <v>47</v>
      </c>
      <c r="EF15" s="49" t="s">
        <v>47</v>
      </c>
      <c r="EG15" s="49" t="s">
        <v>47</v>
      </c>
      <c r="EH15" s="49" t="s">
        <v>47</v>
      </c>
      <c r="EI15" s="49" t="s">
        <v>47</v>
      </c>
      <c r="EJ15" s="49" t="s">
        <v>47</v>
      </c>
      <c r="EK15" s="49" t="s">
        <v>47</v>
      </c>
      <c r="EL15" s="49" t="s">
        <v>47</v>
      </c>
      <c r="EM15" s="49" t="s">
        <v>47</v>
      </c>
      <c r="EN15" s="49" t="s">
        <v>47</v>
      </c>
      <c r="EO15" s="49" t="s">
        <v>47</v>
      </c>
      <c r="EP15" s="49" t="s">
        <v>47</v>
      </c>
      <c r="EQ15" s="49" t="s">
        <v>47</v>
      </c>
      <c r="ER15" s="49" t="s">
        <v>47</v>
      </c>
      <c r="ES15" s="49" t="s">
        <v>47</v>
      </c>
      <c r="ET15" s="170" t="s">
        <v>47</v>
      </c>
      <c r="EU15" s="170" t="s">
        <v>47</v>
      </c>
      <c r="EV15" s="49" t="s">
        <v>47</v>
      </c>
      <c r="EW15" s="49" t="s">
        <v>47</v>
      </c>
      <c r="EX15" s="49" t="s">
        <v>47</v>
      </c>
      <c r="EY15" s="49" t="s">
        <v>47</v>
      </c>
      <c r="EZ15" s="49" t="s">
        <v>47</v>
      </c>
      <c r="FA15" s="49" t="s">
        <v>47</v>
      </c>
      <c r="FB15" s="49" t="s">
        <v>47</v>
      </c>
      <c r="FC15" s="49" t="s">
        <v>47</v>
      </c>
      <c r="FD15" s="49" t="s">
        <v>47</v>
      </c>
      <c r="FE15" s="49" t="s">
        <v>47</v>
      </c>
      <c r="FF15" s="49" t="s">
        <v>47</v>
      </c>
      <c r="FG15" s="49" t="s">
        <v>47</v>
      </c>
      <c r="FH15" s="49" t="s">
        <v>47</v>
      </c>
      <c r="FI15" s="49" t="s">
        <v>47</v>
      </c>
      <c r="FJ15" s="49" t="s">
        <v>47</v>
      </c>
      <c r="FK15" s="49" t="s">
        <v>47</v>
      </c>
      <c r="FL15" s="49" t="s">
        <v>47</v>
      </c>
      <c r="FM15" s="49" t="s">
        <v>47</v>
      </c>
      <c r="FN15" s="49" t="s">
        <v>47</v>
      </c>
      <c r="FO15" s="49" t="s">
        <v>47</v>
      </c>
      <c r="FP15" s="49" t="s">
        <v>47</v>
      </c>
      <c r="FQ15" s="49" t="s">
        <v>47</v>
      </c>
      <c r="FR15" s="49" t="s">
        <v>47</v>
      </c>
      <c r="FS15" s="49" t="s">
        <v>47</v>
      </c>
      <c r="FT15" s="49" t="s">
        <v>47</v>
      </c>
      <c r="FU15" s="49" t="s">
        <v>47</v>
      </c>
      <c r="FV15" s="49" t="s">
        <v>47</v>
      </c>
      <c r="FW15" s="13"/>
      <c r="FX15" s="13"/>
      <c r="FY15" s="13"/>
      <c r="FZ15" s="13"/>
      <c r="GA15" s="13"/>
      <c r="GB15" s="13"/>
      <c r="GC15" s="13"/>
      <c r="GD15" s="13"/>
      <c r="GE15" s="13"/>
      <c r="GF15" s="13"/>
      <c r="GG15" s="13"/>
      <c r="GH15" s="13"/>
      <c r="GI15" s="13"/>
      <c r="GJ15" s="13"/>
      <c r="GK15" s="13"/>
      <c r="GL15" s="13"/>
      <c r="GM15" s="13"/>
      <c r="GN15" s="13"/>
      <c r="GO15" s="13"/>
    </row>
    <row r="16" customFormat="false" ht="15.75" hidden="true" customHeight="false" outlineLevel="0" collapsed="false">
      <c r="A16" s="20" t="s">
        <v>160</v>
      </c>
      <c r="B16" s="184" t="s">
        <v>33</v>
      </c>
      <c r="C16" s="184" t="s">
        <v>33</v>
      </c>
      <c r="D16" s="184" t="s">
        <v>33</v>
      </c>
      <c r="E16" s="184" t="s">
        <v>33</v>
      </c>
      <c r="F16" s="184" t="s">
        <v>33</v>
      </c>
      <c r="G16" s="184" t="s">
        <v>33</v>
      </c>
      <c r="H16" s="184" t="s">
        <v>33</v>
      </c>
      <c r="I16" s="184" t="s">
        <v>33</v>
      </c>
      <c r="J16" s="184" t="s">
        <v>33</v>
      </c>
      <c r="K16" s="184" t="s">
        <v>33</v>
      </c>
      <c r="L16" s="184" t="s">
        <v>33</v>
      </c>
      <c r="M16" s="184" t="s">
        <v>33</v>
      </c>
      <c r="N16" s="184" t="s">
        <v>33</v>
      </c>
      <c r="O16" s="184" t="s">
        <v>33</v>
      </c>
      <c r="P16" s="45" t="s">
        <v>842</v>
      </c>
      <c r="Q16" s="45" t="s">
        <v>37</v>
      </c>
      <c r="R16" s="29" t="s">
        <v>41</v>
      </c>
      <c r="S16" s="29" t="s">
        <v>41</v>
      </c>
      <c r="T16" s="29" t="s">
        <v>41</v>
      </c>
      <c r="U16" s="29" t="s">
        <v>41</v>
      </c>
      <c r="V16" s="29" t="s">
        <v>41</v>
      </c>
      <c r="W16" s="29" t="s">
        <v>41</v>
      </c>
      <c r="X16" s="29" t="s">
        <v>41</v>
      </c>
      <c r="Y16" s="29" t="s">
        <v>41</v>
      </c>
      <c r="Z16" s="29" t="s">
        <v>41</v>
      </c>
      <c r="AA16" s="29" t="s">
        <v>41</v>
      </c>
      <c r="AB16" s="29" t="s">
        <v>41</v>
      </c>
      <c r="AC16" s="29" t="s">
        <v>41</v>
      </c>
      <c r="AD16" s="29" t="s">
        <v>41</v>
      </c>
      <c r="AE16" s="29" t="s">
        <v>41</v>
      </c>
      <c r="AF16" s="29" t="s">
        <v>41</v>
      </c>
      <c r="AG16" s="29" t="s">
        <v>41</v>
      </c>
      <c r="AH16" s="29" t="s">
        <v>41</v>
      </c>
      <c r="AI16" s="29" t="s">
        <v>41</v>
      </c>
      <c r="AJ16" s="29" t="s">
        <v>41</v>
      </c>
      <c r="AK16" s="29" t="s">
        <v>41</v>
      </c>
      <c r="AL16" s="29" t="s">
        <v>41</v>
      </c>
      <c r="AM16" s="29" t="s">
        <v>41</v>
      </c>
      <c r="AN16" s="29" t="s">
        <v>41</v>
      </c>
      <c r="AO16" s="29" t="s">
        <v>41</v>
      </c>
      <c r="AP16" s="204" t="s">
        <v>41</v>
      </c>
      <c r="AQ16" s="29" t="s">
        <v>41</v>
      </c>
      <c r="AR16" s="29" t="s">
        <v>41</v>
      </c>
      <c r="AS16" s="29" t="s">
        <v>41</v>
      </c>
      <c r="AT16" s="29" t="s">
        <v>41</v>
      </c>
      <c r="AU16" s="189" t="s">
        <v>41</v>
      </c>
      <c r="AV16" s="189" t="s">
        <v>41</v>
      </c>
      <c r="AW16" s="189" t="s">
        <v>41</v>
      </c>
      <c r="AX16" s="189" t="s">
        <v>41</v>
      </c>
      <c r="AY16" s="189" t="s">
        <v>41</v>
      </c>
      <c r="AZ16" s="189" t="s">
        <v>41</v>
      </c>
      <c r="BA16" s="189" t="s">
        <v>41</v>
      </c>
      <c r="BB16" s="189" t="s">
        <v>41</v>
      </c>
      <c r="BC16" s="189" t="s">
        <v>41</v>
      </c>
      <c r="BD16" s="189" t="s">
        <v>41</v>
      </c>
      <c r="BE16" s="189" t="s">
        <v>41</v>
      </c>
      <c r="BF16" s="189" t="s">
        <v>41</v>
      </c>
      <c r="BG16" s="189" t="s">
        <v>41</v>
      </c>
      <c r="BH16" s="189" t="s">
        <v>41</v>
      </c>
      <c r="BI16" s="195"/>
      <c r="BJ16" s="195"/>
      <c r="BK16" s="195"/>
      <c r="BL16" s="195"/>
      <c r="BM16" s="195"/>
      <c r="BN16" s="205"/>
      <c r="BO16" s="195"/>
      <c r="BP16" s="195"/>
      <c r="BQ16" s="195"/>
      <c r="BR16" s="195"/>
      <c r="BS16" s="195"/>
      <c r="BT16" s="195"/>
      <c r="BU16" s="195"/>
      <c r="BV16" s="201"/>
      <c r="BW16" s="201"/>
      <c r="BX16" s="201"/>
      <c r="BY16" s="201"/>
      <c r="BZ16" s="201"/>
      <c r="CA16" s="201"/>
      <c r="CB16" s="201"/>
      <c r="CC16" s="201"/>
      <c r="CD16" s="201"/>
      <c r="CE16" s="201"/>
      <c r="CF16" s="201"/>
      <c r="CG16" s="201"/>
      <c r="CH16" s="201"/>
      <c r="CI16" s="201"/>
      <c r="CJ16" s="201"/>
      <c r="CK16" s="201"/>
      <c r="CL16" s="201"/>
      <c r="CM16" s="201"/>
      <c r="CN16" s="206"/>
      <c r="CO16" s="206"/>
      <c r="CP16" s="206"/>
      <c r="CQ16" s="206"/>
      <c r="CR16" s="206"/>
      <c r="CS16" s="206"/>
      <c r="CT16" s="206"/>
      <c r="CU16" s="206"/>
      <c r="CV16" s="207"/>
      <c r="CW16" s="206"/>
      <c r="CX16" s="196"/>
      <c r="CY16" s="196"/>
      <c r="CZ16" s="196"/>
      <c r="DA16" s="196"/>
      <c r="DB16" s="196"/>
      <c r="DC16" s="196"/>
      <c r="DD16" s="196"/>
      <c r="DE16" s="196"/>
      <c r="DF16" s="196"/>
      <c r="DG16" s="196"/>
      <c r="DH16" s="197"/>
      <c r="DI16" s="196"/>
      <c r="DJ16" s="196"/>
      <c r="DK16" s="196"/>
      <c r="DL16" s="196"/>
      <c r="DM16" s="196"/>
      <c r="DN16" s="196"/>
      <c r="DO16" s="196"/>
      <c r="DP16" s="196"/>
      <c r="DQ16" s="196"/>
      <c r="DR16" s="196"/>
      <c r="DS16" s="196"/>
      <c r="DT16" s="196"/>
      <c r="DU16" s="196"/>
      <c r="DV16" s="196"/>
      <c r="DW16" s="197"/>
      <c r="DX16" s="196"/>
      <c r="DY16" s="196"/>
      <c r="DZ16" s="196"/>
      <c r="EA16" s="196"/>
      <c r="EB16" s="196"/>
      <c r="EC16" s="196"/>
      <c r="ED16" s="196"/>
      <c r="EE16" s="196"/>
      <c r="EF16" s="196"/>
      <c r="EG16" s="196"/>
      <c r="EH16" s="196"/>
      <c r="EI16" s="196"/>
      <c r="EJ16" s="196"/>
      <c r="EK16" s="196"/>
      <c r="EL16" s="196"/>
      <c r="EM16" s="196"/>
      <c r="EN16" s="196"/>
      <c r="EO16" s="196"/>
      <c r="EP16" s="196"/>
      <c r="EQ16" s="196"/>
      <c r="ER16" s="196"/>
      <c r="ES16" s="196"/>
      <c r="ET16" s="197"/>
      <c r="EU16" s="197"/>
      <c r="EV16" s="196"/>
      <c r="EW16" s="196"/>
      <c r="EX16" s="196"/>
      <c r="EY16" s="196"/>
      <c r="EZ16" s="196"/>
      <c r="FA16" s="196"/>
      <c r="FB16" s="196"/>
      <c r="FC16" s="196"/>
      <c r="FD16" s="196"/>
      <c r="FE16" s="196"/>
      <c r="FF16" s="196"/>
      <c r="FG16" s="196"/>
      <c r="FH16" s="196"/>
      <c r="FI16" s="196"/>
      <c r="FJ16" s="196"/>
      <c r="FK16" s="196"/>
      <c r="FL16" s="196"/>
      <c r="FM16" s="196"/>
      <c r="FN16" s="196"/>
      <c r="FO16" s="196"/>
      <c r="FP16" s="196"/>
      <c r="FQ16" s="196"/>
      <c r="FR16" s="196"/>
      <c r="FS16" s="196"/>
      <c r="FT16" s="196"/>
      <c r="FU16" s="196"/>
      <c r="FV16" s="196"/>
      <c r="FW16" s="13"/>
      <c r="FX16" s="13"/>
      <c r="FY16" s="13"/>
      <c r="FZ16" s="13"/>
      <c r="GA16" s="13"/>
      <c r="GB16" s="13"/>
      <c r="GC16" s="13"/>
      <c r="GD16" s="13"/>
      <c r="GE16" s="13"/>
      <c r="GF16" s="13"/>
      <c r="GG16" s="13"/>
      <c r="GH16" s="13"/>
      <c r="GI16" s="13"/>
      <c r="GJ16" s="13"/>
      <c r="GK16" s="13"/>
      <c r="GL16" s="13"/>
      <c r="GM16" s="13"/>
      <c r="GN16" s="13"/>
      <c r="GO16" s="13"/>
    </row>
    <row r="17" customFormat="false" ht="15.75" hidden="false" customHeight="false" outlineLevel="0" collapsed="false">
      <c r="A17" s="20" t="s">
        <v>164</v>
      </c>
      <c r="B17" s="37"/>
      <c r="C17" s="37"/>
      <c r="D17" s="37"/>
      <c r="E17" s="37"/>
      <c r="F17" s="20"/>
      <c r="G17" s="37"/>
      <c r="H17" s="20"/>
      <c r="I17" s="20"/>
      <c r="J17" s="20"/>
      <c r="K17" s="20"/>
      <c r="L17" s="37"/>
      <c r="M17" s="20"/>
      <c r="N17" s="184" t="s">
        <v>33</v>
      </c>
      <c r="O17" s="184" t="s">
        <v>33</v>
      </c>
      <c r="P17" s="184" t="s">
        <v>33</v>
      </c>
      <c r="Q17" s="184" t="s">
        <v>33</v>
      </c>
      <c r="R17" s="184" t="s">
        <v>33</v>
      </c>
      <c r="S17" s="184" t="s">
        <v>33</v>
      </c>
      <c r="T17" s="184" t="s">
        <v>33</v>
      </c>
      <c r="U17" s="184" t="s">
        <v>33</v>
      </c>
      <c r="V17" s="184" t="s">
        <v>33</v>
      </c>
      <c r="W17" s="184" t="s">
        <v>33</v>
      </c>
      <c r="X17" s="184" t="s">
        <v>33</v>
      </c>
      <c r="Y17" s="184" t="s">
        <v>33</v>
      </c>
      <c r="Z17" s="184" t="s">
        <v>33</v>
      </c>
      <c r="AA17" s="184" t="s">
        <v>33</v>
      </c>
      <c r="AB17" s="184" t="s">
        <v>33</v>
      </c>
      <c r="AC17" s="184" t="s">
        <v>33</v>
      </c>
      <c r="AD17" s="184" t="s">
        <v>33</v>
      </c>
      <c r="AE17" s="184" t="s">
        <v>33</v>
      </c>
      <c r="AF17" s="184" t="s">
        <v>33</v>
      </c>
      <c r="AG17" s="184" t="s">
        <v>33</v>
      </c>
      <c r="AH17" s="184" t="s">
        <v>33</v>
      </c>
      <c r="AI17" s="184" t="s">
        <v>33</v>
      </c>
      <c r="AJ17" s="184" t="s">
        <v>33</v>
      </c>
      <c r="AK17" s="184" t="s">
        <v>33</v>
      </c>
      <c r="AL17" s="184" t="s">
        <v>33</v>
      </c>
      <c r="AM17" s="184" t="s">
        <v>33</v>
      </c>
      <c r="AN17" s="184" t="s">
        <v>33</v>
      </c>
      <c r="AO17" s="184" t="s">
        <v>33</v>
      </c>
      <c r="AP17" s="184" t="s">
        <v>33</v>
      </c>
      <c r="AQ17" s="184" t="s">
        <v>33</v>
      </c>
      <c r="AR17" s="184" t="s">
        <v>33</v>
      </c>
      <c r="AS17" s="184" t="s">
        <v>33</v>
      </c>
      <c r="AT17" s="184" t="s">
        <v>33</v>
      </c>
      <c r="AU17" s="184" t="s">
        <v>33</v>
      </c>
      <c r="AV17" s="184" t="s">
        <v>33</v>
      </c>
      <c r="AW17" s="184" t="s">
        <v>33</v>
      </c>
      <c r="AX17" s="184" t="s">
        <v>33</v>
      </c>
      <c r="AY17" s="184" t="s">
        <v>33</v>
      </c>
      <c r="AZ17" s="184" t="s">
        <v>33</v>
      </c>
      <c r="BA17" s="184" t="s">
        <v>33</v>
      </c>
      <c r="BB17" s="184" t="s">
        <v>33</v>
      </c>
      <c r="BC17" s="184" t="s">
        <v>33</v>
      </c>
      <c r="BD17" s="184" t="s">
        <v>33</v>
      </c>
      <c r="BE17" s="184" t="s">
        <v>33</v>
      </c>
      <c r="BF17" s="184" t="s">
        <v>33</v>
      </c>
      <c r="BG17" s="188" t="s">
        <v>33</v>
      </c>
      <c r="BH17" s="184" t="s">
        <v>33</v>
      </c>
      <c r="BI17" s="184" t="s">
        <v>33</v>
      </c>
      <c r="BJ17" s="184" t="s">
        <v>33</v>
      </c>
      <c r="BK17" s="184" t="s">
        <v>33</v>
      </c>
      <c r="BL17" s="184" t="s">
        <v>33</v>
      </c>
      <c r="BM17" s="184" t="s">
        <v>33</v>
      </c>
      <c r="BN17" s="184" t="s">
        <v>33</v>
      </c>
      <c r="BO17" s="184" t="s">
        <v>33</v>
      </c>
      <c r="BP17" s="184" t="s">
        <v>33</v>
      </c>
      <c r="BQ17" s="184" t="s">
        <v>33</v>
      </c>
      <c r="BR17" s="184" t="s">
        <v>33</v>
      </c>
      <c r="BS17" s="184" t="s">
        <v>33</v>
      </c>
      <c r="BT17" s="184" t="s">
        <v>33</v>
      </c>
      <c r="BU17" s="184" t="s">
        <v>33</v>
      </c>
      <c r="BV17" s="184" t="s">
        <v>33</v>
      </c>
      <c r="BW17" s="184" t="s">
        <v>33</v>
      </c>
      <c r="BX17" s="184" t="s">
        <v>33</v>
      </c>
      <c r="BY17" s="184" t="s">
        <v>33</v>
      </c>
      <c r="BZ17" s="184" t="s">
        <v>33</v>
      </c>
      <c r="CA17" s="184" t="s">
        <v>33</v>
      </c>
      <c r="CB17" s="184" t="s">
        <v>33</v>
      </c>
      <c r="CC17" s="184" t="s">
        <v>33</v>
      </c>
      <c r="CD17" s="184" t="s">
        <v>33</v>
      </c>
      <c r="CE17" s="184" t="s">
        <v>33</v>
      </c>
      <c r="CF17" s="184" t="s">
        <v>33</v>
      </c>
      <c r="CG17" s="184" t="s">
        <v>33</v>
      </c>
      <c r="CH17" s="184" t="s">
        <v>33</v>
      </c>
      <c r="CI17" s="184" t="s">
        <v>33</v>
      </c>
      <c r="CJ17" s="184" t="s">
        <v>33</v>
      </c>
      <c r="CK17" s="184" t="s">
        <v>33</v>
      </c>
      <c r="CL17" s="184" t="s">
        <v>33</v>
      </c>
      <c r="CM17" s="191" t="s">
        <v>33</v>
      </c>
      <c r="CN17" s="191" t="s">
        <v>33</v>
      </c>
      <c r="CO17" s="191" t="s">
        <v>33</v>
      </c>
      <c r="CP17" s="13" t="s">
        <v>33</v>
      </c>
      <c r="CQ17" s="13" t="s">
        <v>33</v>
      </c>
      <c r="CR17" s="13" t="s">
        <v>33</v>
      </c>
      <c r="CS17" s="49" t="s">
        <v>33</v>
      </c>
      <c r="CT17" s="49" t="s">
        <v>33</v>
      </c>
      <c r="CU17" s="49" t="s">
        <v>33</v>
      </c>
      <c r="CV17" s="170" t="s">
        <v>33</v>
      </c>
      <c r="CW17" s="170" t="s">
        <v>33</v>
      </c>
      <c r="CX17" s="49" t="s">
        <v>33</v>
      </c>
      <c r="CY17" s="49" t="s">
        <v>33</v>
      </c>
      <c r="CZ17" s="49" t="s">
        <v>33</v>
      </c>
      <c r="DA17" s="49" t="s">
        <v>33</v>
      </c>
      <c r="DB17" s="49" t="s">
        <v>33</v>
      </c>
      <c r="DC17" s="49" t="s">
        <v>33</v>
      </c>
      <c r="DD17" s="49" t="s">
        <v>33</v>
      </c>
      <c r="DE17" s="49" t="s">
        <v>41</v>
      </c>
      <c r="DF17" s="49" t="s">
        <v>33</v>
      </c>
      <c r="DG17" s="49" t="s">
        <v>33</v>
      </c>
      <c r="DH17" s="49" t="s">
        <v>33</v>
      </c>
      <c r="DI17" s="49" t="s">
        <v>33</v>
      </c>
      <c r="DJ17" s="49" t="s">
        <v>33</v>
      </c>
      <c r="DK17" s="49" t="s">
        <v>33</v>
      </c>
      <c r="DL17" s="49" t="s">
        <v>33</v>
      </c>
      <c r="DM17" s="49" t="s">
        <v>33</v>
      </c>
      <c r="DN17" s="49" t="s">
        <v>33</v>
      </c>
      <c r="DO17" s="49" t="s">
        <v>33</v>
      </c>
      <c r="DP17" s="49" t="s">
        <v>33</v>
      </c>
      <c r="DQ17" s="49" t="s">
        <v>33</v>
      </c>
      <c r="DR17" s="49" t="s">
        <v>33</v>
      </c>
      <c r="DS17" s="49" t="s">
        <v>33</v>
      </c>
      <c r="DT17" s="49" t="s">
        <v>33</v>
      </c>
      <c r="DU17" s="49" t="s">
        <v>33</v>
      </c>
      <c r="DV17" s="49" t="s">
        <v>33</v>
      </c>
      <c r="DW17" s="170" t="s">
        <v>33</v>
      </c>
      <c r="DX17" s="49" t="s">
        <v>33</v>
      </c>
      <c r="DY17" s="49" t="s">
        <v>33</v>
      </c>
      <c r="DZ17" s="49" t="s">
        <v>33</v>
      </c>
      <c r="EA17" s="49" t="s">
        <v>33</v>
      </c>
      <c r="EB17" s="49" t="s">
        <v>33</v>
      </c>
      <c r="EC17" s="49" t="s">
        <v>33</v>
      </c>
      <c r="ED17" s="49" t="s">
        <v>33</v>
      </c>
      <c r="EE17" s="49" t="s">
        <v>33</v>
      </c>
      <c r="EF17" s="49" t="s">
        <v>33</v>
      </c>
      <c r="EG17" s="49" t="s">
        <v>33</v>
      </c>
      <c r="EH17" s="49" t="s">
        <v>33</v>
      </c>
      <c r="EI17" s="49" t="s">
        <v>33</v>
      </c>
      <c r="EJ17" s="49" t="s">
        <v>33</v>
      </c>
      <c r="EK17" s="49" t="s">
        <v>33</v>
      </c>
      <c r="EL17" s="49" t="s">
        <v>33</v>
      </c>
      <c r="EM17" s="49" t="s">
        <v>33</v>
      </c>
      <c r="EN17" s="49" t="s">
        <v>33</v>
      </c>
      <c r="EO17" s="49" t="s">
        <v>33</v>
      </c>
      <c r="EP17" s="49" t="s">
        <v>33</v>
      </c>
      <c r="EQ17" s="49" t="s">
        <v>33</v>
      </c>
      <c r="ER17" s="49" t="s">
        <v>33</v>
      </c>
      <c r="ES17" s="49" t="s">
        <v>33</v>
      </c>
      <c r="ET17" s="49" t="s">
        <v>33</v>
      </c>
      <c r="EU17" s="170" t="s">
        <v>33</v>
      </c>
      <c r="EV17" s="49" t="s">
        <v>33</v>
      </c>
      <c r="EW17" s="49" t="s">
        <v>33</v>
      </c>
      <c r="EX17" s="49" t="s">
        <v>33</v>
      </c>
      <c r="EY17" s="49" t="s">
        <v>33</v>
      </c>
      <c r="EZ17" s="49" t="s">
        <v>33</v>
      </c>
      <c r="FA17" s="49" t="s">
        <v>33</v>
      </c>
      <c r="FB17" s="49" t="s">
        <v>33</v>
      </c>
      <c r="FC17" s="49" t="s">
        <v>33</v>
      </c>
      <c r="FD17" s="49" t="s">
        <v>33</v>
      </c>
      <c r="FE17" s="13" t="s">
        <v>33</v>
      </c>
      <c r="FF17" s="13" t="s">
        <v>33</v>
      </c>
      <c r="FG17" s="13" t="s">
        <v>33</v>
      </c>
      <c r="FH17" s="13" t="s">
        <v>33</v>
      </c>
      <c r="FI17" s="49" t="s">
        <v>33</v>
      </c>
      <c r="FJ17" s="49" t="s">
        <v>33</v>
      </c>
      <c r="FK17" s="49" t="s">
        <v>33</v>
      </c>
      <c r="FL17" s="49" t="s">
        <v>33</v>
      </c>
      <c r="FM17" s="49" t="s">
        <v>33</v>
      </c>
      <c r="FN17" s="49" t="s">
        <v>33</v>
      </c>
      <c r="FO17" s="49" t="s">
        <v>33</v>
      </c>
      <c r="FP17" s="49" t="s">
        <v>33</v>
      </c>
      <c r="FQ17" s="49" t="s">
        <v>33</v>
      </c>
      <c r="FR17" s="49" t="s">
        <v>33</v>
      </c>
      <c r="FS17" s="49" t="s">
        <v>33</v>
      </c>
      <c r="FT17" s="49" t="s">
        <v>33</v>
      </c>
      <c r="FU17" s="49" t="s">
        <v>33</v>
      </c>
      <c r="FV17" s="49" t="s">
        <v>33</v>
      </c>
      <c r="FW17" s="49" t="s">
        <v>33</v>
      </c>
      <c r="FX17" s="49" t="s">
        <v>33</v>
      </c>
      <c r="FY17" s="49" t="s">
        <v>33</v>
      </c>
      <c r="FZ17" s="49" t="s">
        <v>33</v>
      </c>
      <c r="GA17" s="49" t="s">
        <v>33</v>
      </c>
      <c r="GB17" s="49" t="s">
        <v>33</v>
      </c>
      <c r="GC17" s="49" t="s">
        <v>33</v>
      </c>
      <c r="GD17" s="13" t="s">
        <v>33</v>
      </c>
      <c r="GE17" s="49" t="s">
        <v>41</v>
      </c>
      <c r="GF17" s="193" t="s">
        <v>843</v>
      </c>
      <c r="GG17" s="193" t="s">
        <v>843</v>
      </c>
      <c r="GH17" s="193" t="s">
        <v>843</v>
      </c>
      <c r="GI17" s="13" t="s">
        <v>33</v>
      </c>
      <c r="GJ17" s="13" t="s">
        <v>33</v>
      </c>
      <c r="GK17" s="13"/>
      <c r="GL17" s="13"/>
      <c r="GM17" s="13"/>
      <c r="GN17" s="13"/>
      <c r="GO17" s="13"/>
    </row>
    <row r="18" customFormat="false" ht="15.75" hidden="true" customHeight="false" outlineLevel="0" collapsed="false">
      <c r="A18" s="20" t="s">
        <v>167</v>
      </c>
      <c r="B18" s="184" t="s">
        <v>33</v>
      </c>
      <c r="C18" s="184" t="s">
        <v>33</v>
      </c>
      <c r="D18" s="184" t="s">
        <v>33</v>
      </c>
      <c r="E18" s="184" t="s">
        <v>33</v>
      </c>
      <c r="F18" s="184" t="s">
        <v>33</v>
      </c>
      <c r="G18" s="184" t="s">
        <v>33</v>
      </c>
      <c r="H18" s="184" t="s">
        <v>33</v>
      </c>
      <c r="I18" s="184" t="s">
        <v>33</v>
      </c>
      <c r="J18" s="184" t="s">
        <v>33</v>
      </c>
      <c r="K18" s="184" t="s">
        <v>33</v>
      </c>
      <c r="L18" s="45" t="s">
        <v>37</v>
      </c>
      <c r="M18" s="184" t="s">
        <v>33</v>
      </c>
      <c r="N18" s="184" t="s">
        <v>33</v>
      </c>
      <c r="O18" s="184" t="s">
        <v>33</v>
      </c>
      <c r="P18" s="184" t="s">
        <v>33</v>
      </c>
      <c r="Q18" s="184" t="s">
        <v>33</v>
      </c>
      <c r="R18" s="184" t="s">
        <v>33</v>
      </c>
      <c r="S18" s="184" t="s">
        <v>33</v>
      </c>
      <c r="T18" s="184" t="s">
        <v>33</v>
      </c>
      <c r="U18" s="184" t="s">
        <v>33</v>
      </c>
      <c r="V18" s="184" t="s">
        <v>33</v>
      </c>
      <c r="W18" s="184" t="s">
        <v>33</v>
      </c>
      <c r="X18" s="184" t="s">
        <v>33</v>
      </c>
      <c r="Y18" s="184" t="s">
        <v>33</v>
      </c>
      <c r="Z18" s="184" t="s">
        <v>33</v>
      </c>
      <c r="AA18" s="184" t="s">
        <v>33</v>
      </c>
      <c r="AB18" s="184" t="s">
        <v>33</v>
      </c>
      <c r="AC18" s="184" t="s">
        <v>33</v>
      </c>
      <c r="AD18" s="184" t="s">
        <v>33</v>
      </c>
      <c r="AE18" s="184" t="s">
        <v>33</v>
      </c>
      <c r="AF18" s="184" t="s">
        <v>33</v>
      </c>
      <c r="AG18" s="184" t="s">
        <v>33</v>
      </c>
      <c r="AH18" s="184" t="s">
        <v>33</v>
      </c>
      <c r="AI18" s="184" t="s">
        <v>33</v>
      </c>
      <c r="AJ18" s="184" t="s">
        <v>33</v>
      </c>
      <c r="AK18" s="184" t="s">
        <v>33</v>
      </c>
      <c r="AL18" s="184" t="s">
        <v>33</v>
      </c>
      <c r="AM18" s="184" t="s">
        <v>33</v>
      </c>
      <c r="AN18" s="184" t="s">
        <v>33</v>
      </c>
      <c r="AO18" s="184" t="s">
        <v>33</v>
      </c>
      <c r="AP18" s="184" t="s">
        <v>33</v>
      </c>
      <c r="AQ18" s="184" t="s">
        <v>33</v>
      </c>
      <c r="AR18" s="184" t="s">
        <v>33</v>
      </c>
      <c r="AS18" s="184" t="s">
        <v>33</v>
      </c>
      <c r="AT18" s="184" t="s">
        <v>33</v>
      </c>
      <c r="AU18" s="184" t="s">
        <v>33</v>
      </c>
      <c r="AV18" s="184" t="s">
        <v>33</v>
      </c>
      <c r="AW18" s="184" t="s">
        <v>33</v>
      </c>
      <c r="AX18" s="184" t="s">
        <v>33</v>
      </c>
      <c r="AY18" s="184" t="s">
        <v>33</v>
      </c>
      <c r="AZ18" s="184" t="s">
        <v>33</v>
      </c>
      <c r="BA18" s="184" t="s">
        <v>33</v>
      </c>
      <c r="BB18" s="184" t="s">
        <v>33</v>
      </c>
      <c r="BC18" s="184" t="s">
        <v>33</v>
      </c>
      <c r="BD18" s="184" t="s">
        <v>33</v>
      </c>
      <c r="BE18" s="184" t="s">
        <v>33</v>
      </c>
      <c r="BF18" s="191" t="s">
        <v>33</v>
      </c>
      <c r="BG18" s="208" t="s">
        <v>41</v>
      </c>
      <c r="BH18" s="184" t="s">
        <v>33</v>
      </c>
      <c r="BI18" s="184" t="s">
        <v>33</v>
      </c>
      <c r="BJ18" s="184" t="s">
        <v>33</v>
      </c>
      <c r="BK18" s="184" t="s">
        <v>33</v>
      </c>
      <c r="BL18" s="184" t="s">
        <v>33</v>
      </c>
      <c r="BM18" s="184" t="s">
        <v>33</v>
      </c>
      <c r="BN18" s="184" t="s">
        <v>33</v>
      </c>
      <c r="BO18" s="184" t="s">
        <v>33</v>
      </c>
      <c r="BP18" s="184" t="s">
        <v>33</v>
      </c>
      <c r="BQ18" s="184" t="s">
        <v>33</v>
      </c>
      <c r="BR18" s="184" t="s">
        <v>33</v>
      </c>
      <c r="BS18" s="184" t="s">
        <v>33</v>
      </c>
      <c r="BT18" s="184" t="s">
        <v>33</v>
      </c>
      <c r="BU18" s="184" t="s">
        <v>33</v>
      </c>
      <c r="BV18" s="184" t="s">
        <v>33</v>
      </c>
      <c r="BW18" s="184" t="s">
        <v>33</v>
      </c>
      <c r="BX18" s="184" t="s">
        <v>33</v>
      </c>
      <c r="BY18" s="184" t="s">
        <v>33</v>
      </c>
      <c r="BZ18" s="184" t="s">
        <v>33</v>
      </c>
      <c r="CA18" s="184" t="s">
        <v>33</v>
      </c>
      <c r="CB18" s="184" t="s">
        <v>33</v>
      </c>
      <c r="CC18" s="184" t="s">
        <v>33</v>
      </c>
      <c r="CD18" s="184" t="s">
        <v>33</v>
      </c>
      <c r="CE18" s="184" t="s">
        <v>33</v>
      </c>
      <c r="CF18" s="184" t="s">
        <v>33</v>
      </c>
      <c r="CG18" s="184" t="s">
        <v>33</v>
      </c>
      <c r="CH18" s="184" t="s">
        <v>33</v>
      </c>
      <c r="CI18" s="184" t="s">
        <v>33</v>
      </c>
      <c r="CJ18" s="184" t="s">
        <v>33</v>
      </c>
      <c r="CK18" s="184" t="s">
        <v>33</v>
      </c>
      <c r="CL18" s="184" t="s">
        <v>33</v>
      </c>
      <c r="CM18" s="191" t="s">
        <v>33</v>
      </c>
      <c r="CN18" s="191" t="s">
        <v>33</v>
      </c>
      <c r="CO18" s="191" t="s">
        <v>33</v>
      </c>
      <c r="CP18" s="13" t="s">
        <v>33</v>
      </c>
      <c r="CQ18" s="13" t="s">
        <v>33</v>
      </c>
      <c r="CR18" s="13" t="s">
        <v>33</v>
      </c>
      <c r="CS18" s="49" t="s">
        <v>33</v>
      </c>
      <c r="CT18" s="49" t="s">
        <v>33</v>
      </c>
      <c r="CU18" s="49" t="s">
        <v>33</v>
      </c>
      <c r="CV18" s="170" t="s">
        <v>33</v>
      </c>
      <c r="CW18" s="170" t="s">
        <v>33</v>
      </c>
      <c r="CX18" s="49" t="s">
        <v>33</v>
      </c>
      <c r="CY18" s="49" t="s">
        <v>33</v>
      </c>
      <c r="CZ18" s="49" t="s">
        <v>33</v>
      </c>
      <c r="DA18" s="49" t="s">
        <v>33</v>
      </c>
      <c r="DB18" s="49" t="s">
        <v>33</v>
      </c>
      <c r="DC18" s="49" t="s">
        <v>33</v>
      </c>
      <c r="DD18" s="49" t="s">
        <v>33</v>
      </c>
      <c r="DE18" s="49" t="s">
        <v>33</v>
      </c>
      <c r="DF18" s="49" t="s">
        <v>33</v>
      </c>
      <c r="DG18" s="49" t="s">
        <v>33</v>
      </c>
      <c r="DH18" s="49" t="s">
        <v>33</v>
      </c>
      <c r="DI18" s="49" t="s">
        <v>33</v>
      </c>
      <c r="DJ18" s="49" t="s">
        <v>33</v>
      </c>
      <c r="DK18" s="49" t="s">
        <v>33</v>
      </c>
      <c r="DL18" s="49" t="s">
        <v>33</v>
      </c>
      <c r="DM18" s="49" t="s">
        <v>33</v>
      </c>
      <c r="DN18" s="49" t="s">
        <v>33</v>
      </c>
      <c r="DO18" s="49" t="s">
        <v>33</v>
      </c>
      <c r="DP18" s="49" t="s">
        <v>33</v>
      </c>
      <c r="DQ18" s="49" t="s">
        <v>33</v>
      </c>
      <c r="DR18" s="49" t="s">
        <v>33</v>
      </c>
      <c r="DS18" s="49" t="s">
        <v>33</v>
      </c>
      <c r="DT18" s="49" t="s">
        <v>33</v>
      </c>
      <c r="DU18" s="49" t="s">
        <v>33</v>
      </c>
      <c r="DV18" s="49" t="s">
        <v>33</v>
      </c>
      <c r="DW18" s="170" t="s">
        <v>33</v>
      </c>
      <c r="DX18" s="49" t="s">
        <v>33</v>
      </c>
      <c r="DY18" s="49" t="s">
        <v>41</v>
      </c>
      <c r="DZ18" s="49" t="s">
        <v>41</v>
      </c>
      <c r="EA18" s="49" t="s">
        <v>41</v>
      </c>
      <c r="EB18" s="49" t="s">
        <v>47</v>
      </c>
      <c r="EC18" s="49" t="s">
        <v>47</v>
      </c>
      <c r="ED18" s="49" t="s">
        <v>47</v>
      </c>
      <c r="EE18" s="49" t="s">
        <v>47</v>
      </c>
      <c r="EF18" s="49" t="s">
        <v>47</v>
      </c>
      <c r="EG18" s="49" t="s">
        <v>47</v>
      </c>
      <c r="EH18" s="49" t="s">
        <v>47</v>
      </c>
      <c r="EI18" s="49" t="s">
        <v>47</v>
      </c>
      <c r="EJ18" s="49" t="s">
        <v>47</v>
      </c>
      <c r="EK18" s="49" t="s">
        <v>47</v>
      </c>
      <c r="EL18" s="49" t="s">
        <v>47</v>
      </c>
      <c r="EM18" s="49" t="s">
        <v>47</v>
      </c>
      <c r="EN18" s="49" t="s">
        <v>47</v>
      </c>
      <c r="EO18" s="49" t="s">
        <v>47</v>
      </c>
      <c r="EP18" s="49" t="s">
        <v>47</v>
      </c>
      <c r="EQ18" s="49" t="s">
        <v>47</v>
      </c>
      <c r="ER18" s="49" t="s">
        <v>47</v>
      </c>
      <c r="ES18" s="49" t="s">
        <v>47</v>
      </c>
      <c r="ET18" s="170" t="s">
        <v>47</v>
      </c>
      <c r="EU18" s="170" t="s">
        <v>47</v>
      </c>
      <c r="EV18" s="49" t="s">
        <v>47</v>
      </c>
      <c r="EW18" s="49" t="s">
        <v>47</v>
      </c>
      <c r="EX18" s="49" t="s">
        <v>47</v>
      </c>
      <c r="EY18" s="49" t="s">
        <v>47</v>
      </c>
      <c r="EZ18" s="49" t="s">
        <v>47</v>
      </c>
      <c r="FA18" s="49" t="s">
        <v>47</v>
      </c>
      <c r="FB18" s="49" t="s">
        <v>47</v>
      </c>
      <c r="FC18" s="49" t="s">
        <v>47</v>
      </c>
      <c r="FD18" s="49" t="s">
        <v>47</v>
      </c>
      <c r="FE18" s="49" t="s">
        <v>47</v>
      </c>
      <c r="FF18" s="49" t="s">
        <v>47</v>
      </c>
      <c r="FG18" s="49" t="s">
        <v>47</v>
      </c>
      <c r="FH18" s="49" t="s">
        <v>47</v>
      </c>
      <c r="FI18" s="49" t="s">
        <v>47</v>
      </c>
      <c r="FJ18" s="49" t="s">
        <v>47</v>
      </c>
      <c r="FK18" s="49" t="s">
        <v>47</v>
      </c>
      <c r="FL18" s="49" t="s">
        <v>47</v>
      </c>
      <c r="FM18" s="49" t="s">
        <v>47</v>
      </c>
      <c r="FN18" s="49" t="s">
        <v>47</v>
      </c>
      <c r="FO18" s="49" t="s">
        <v>47</v>
      </c>
      <c r="FP18" s="49" t="s">
        <v>47</v>
      </c>
      <c r="FQ18" s="49" t="s">
        <v>47</v>
      </c>
      <c r="FR18" s="49" t="s">
        <v>47</v>
      </c>
      <c r="FS18" s="49" t="s">
        <v>47</v>
      </c>
      <c r="FT18" s="49" t="s">
        <v>47</v>
      </c>
      <c r="FU18" s="49" t="s">
        <v>47</v>
      </c>
      <c r="FV18" s="49" t="s">
        <v>47</v>
      </c>
      <c r="FW18" s="13"/>
      <c r="FX18" s="13"/>
      <c r="FY18" s="13"/>
      <c r="FZ18" s="13"/>
      <c r="GA18" s="13"/>
      <c r="GB18" s="13"/>
      <c r="GC18" s="13"/>
      <c r="GD18" s="13"/>
      <c r="GE18" s="13"/>
      <c r="GF18" s="13"/>
      <c r="GG18" s="13"/>
      <c r="GH18" s="13"/>
      <c r="GI18" s="13"/>
      <c r="GJ18" s="13"/>
      <c r="GK18" s="13"/>
      <c r="GL18" s="13"/>
      <c r="GM18" s="13"/>
      <c r="GN18" s="13"/>
      <c r="GO18" s="13"/>
    </row>
    <row r="19" customFormat="false" ht="15.75" hidden="false" customHeight="false" outlineLevel="0" collapsed="false">
      <c r="A19" s="20" t="s">
        <v>172</v>
      </c>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95"/>
      <c r="AV19" s="195"/>
      <c r="AW19" s="195"/>
      <c r="AX19" s="195"/>
      <c r="AY19" s="195"/>
      <c r="AZ19" s="195"/>
      <c r="BA19" s="195"/>
      <c r="BB19" s="195"/>
      <c r="BC19" s="195"/>
      <c r="BD19" s="195"/>
      <c r="BE19" s="195"/>
      <c r="BF19" s="195"/>
      <c r="BG19" s="209"/>
      <c r="BH19" s="195"/>
      <c r="BI19" s="184" t="s">
        <v>33</v>
      </c>
      <c r="BJ19" s="184" t="s">
        <v>33</v>
      </c>
      <c r="BK19" s="184" t="s">
        <v>33</v>
      </c>
      <c r="BL19" s="184" t="s">
        <v>33</v>
      </c>
      <c r="BM19" s="184" t="s">
        <v>33</v>
      </c>
      <c r="BN19" s="184" t="s">
        <v>33</v>
      </c>
      <c r="BO19" s="184" t="s">
        <v>33</v>
      </c>
      <c r="BP19" s="184" t="s">
        <v>33</v>
      </c>
      <c r="BQ19" s="184" t="s">
        <v>33</v>
      </c>
      <c r="BR19" s="184" t="s">
        <v>33</v>
      </c>
      <c r="BS19" s="184" t="s">
        <v>33</v>
      </c>
      <c r="BT19" s="184" t="s">
        <v>33</v>
      </c>
      <c r="BU19" s="184" t="s">
        <v>33</v>
      </c>
      <c r="BV19" s="184" t="s">
        <v>33</v>
      </c>
      <c r="BW19" s="184" t="s">
        <v>33</v>
      </c>
      <c r="BX19" s="184" t="s">
        <v>33</v>
      </c>
      <c r="BY19" s="184" t="s">
        <v>33</v>
      </c>
      <c r="BZ19" s="184" t="s">
        <v>33</v>
      </c>
      <c r="CA19" s="184" t="s">
        <v>33</v>
      </c>
      <c r="CB19" s="184" t="s">
        <v>33</v>
      </c>
      <c r="CC19" s="184" t="s">
        <v>33</v>
      </c>
      <c r="CD19" s="184" t="s">
        <v>33</v>
      </c>
      <c r="CE19" s="184" t="s">
        <v>33</v>
      </c>
      <c r="CF19" s="184" t="s">
        <v>33</v>
      </c>
      <c r="CG19" s="184" t="s">
        <v>33</v>
      </c>
      <c r="CH19" s="184" t="s">
        <v>33</v>
      </c>
      <c r="CI19" s="184" t="s">
        <v>33</v>
      </c>
      <c r="CJ19" s="184" t="s">
        <v>33</v>
      </c>
      <c r="CK19" s="184" t="s">
        <v>33</v>
      </c>
      <c r="CL19" s="184" t="s">
        <v>33</v>
      </c>
      <c r="CM19" s="191" t="s">
        <v>33</v>
      </c>
      <c r="CN19" s="191" t="s">
        <v>33</v>
      </c>
      <c r="CO19" s="191" t="s">
        <v>33</v>
      </c>
      <c r="CP19" s="13" t="s">
        <v>33</v>
      </c>
      <c r="CQ19" s="13" t="s">
        <v>37</v>
      </c>
      <c r="CR19" s="13" t="s">
        <v>37</v>
      </c>
      <c r="CS19" s="13" t="s">
        <v>37</v>
      </c>
      <c r="CT19" s="49" t="s">
        <v>37</v>
      </c>
      <c r="CU19" s="49" t="s">
        <v>37</v>
      </c>
      <c r="CV19" s="170" t="s">
        <v>37</v>
      </c>
      <c r="CW19" s="170" t="s">
        <v>37</v>
      </c>
      <c r="CX19" s="49" t="s">
        <v>37</v>
      </c>
      <c r="CY19" s="49" t="s">
        <v>37</v>
      </c>
      <c r="CZ19" s="49" t="s">
        <v>41</v>
      </c>
      <c r="DA19" s="49" t="s">
        <v>41</v>
      </c>
      <c r="DB19" s="49" t="s">
        <v>41</v>
      </c>
      <c r="DC19" s="49" t="s">
        <v>41</v>
      </c>
      <c r="DD19" s="49" t="s">
        <v>41</v>
      </c>
      <c r="DE19" s="49" t="s">
        <v>41</v>
      </c>
      <c r="DF19" s="49" t="s">
        <v>41</v>
      </c>
      <c r="DG19" s="49" t="s">
        <v>41</v>
      </c>
      <c r="DH19" s="49" t="s">
        <v>41</v>
      </c>
      <c r="DI19" s="49" t="s">
        <v>41</v>
      </c>
      <c r="DJ19" s="49" t="s">
        <v>41</v>
      </c>
      <c r="DK19" s="49" t="s">
        <v>41</v>
      </c>
      <c r="DL19" s="49" t="s">
        <v>37</v>
      </c>
      <c r="DM19" s="49" t="s">
        <v>33</v>
      </c>
      <c r="DN19" s="49" t="s">
        <v>33</v>
      </c>
      <c r="DO19" s="49" t="s">
        <v>33</v>
      </c>
      <c r="DP19" s="49" t="s">
        <v>33</v>
      </c>
      <c r="DQ19" s="49" t="s">
        <v>33</v>
      </c>
      <c r="DR19" s="49" t="s">
        <v>33</v>
      </c>
      <c r="DS19" s="49" t="s">
        <v>41</v>
      </c>
      <c r="DT19" s="49" t="s">
        <v>41</v>
      </c>
      <c r="DU19" s="49" t="s">
        <v>41</v>
      </c>
      <c r="DV19" s="49" t="s">
        <v>41</v>
      </c>
      <c r="DW19" s="170" t="s">
        <v>41</v>
      </c>
      <c r="DX19" s="170" t="s">
        <v>41</v>
      </c>
      <c r="DY19" s="49" t="s">
        <v>41</v>
      </c>
      <c r="DZ19" s="49" t="s">
        <v>41</v>
      </c>
      <c r="EA19" s="49" t="s">
        <v>41</v>
      </c>
      <c r="EB19" s="49" t="s">
        <v>41</v>
      </c>
      <c r="EC19" s="49" t="s">
        <v>41</v>
      </c>
      <c r="ED19" s="49" t="s">
        <v>41</v>
      </c>
      <c r="EE19" s="49" t="s">
        <v>41</v>
      </c>
      <c r="EF19" s="49" t="s">
        <v>41</v>
      </c>
      <c r="EG19" s="49" t="s">
        <v>41</v>
      </c>
      <c r="EH19" s="49" t="s">
        <v>41</v>
      </c>
      <c r="EI19" s="49" t="s">
        <v>41</v>
      </c>
      <c r="EJ19" s="49" t="s">
        <v>41</v>
      </c>
      <c r="EK19" s="49" t="s">
        <v>41</v>
      </c>
      <c r="EL19" s="49" t="s">
        <v>41</v>
      </c>
      <c r="EM19" s="49" t="s">
        <v>41</v>
      </c>
      <c r="EN19" s="49" t="s">
        <v>41</v>
      </c>
      <c r="EO19" s="49" t="s">
        <v>41</v>
      </c>
      <c r="EP19" s="49" t="s">
        <v>41</v>
      </c>
      <c r="EQ19" s="49" t="s">
        <v>41</v>
      </c>
      <c r="ER19" s="49" t="s">
        <v>41</v>
      </c>
      <c r="ES19" s="49" t="s">
        <v>41</v>
      </c>
      <c r="ET19" s="49" t="s">
        <v>41</v>
      </c>
      <c r="EU19" s="170" t="s">
        <v>41</v>
      </c>
      <c r="EV19" s="49" t="s">
        <v>41</v>
      </c>
      <c r="EW19" s="49" t="s">
        <v>41</v>
      </c>
      <c r="EX19" s="49" t="s">
        <v>41</v>
      </c>
      <c r="EY19" s="49" t="s">
        <v>41</v>
      </c>
      <c r="EZ19" s="49" t="s">
        <v>41</v>
      </c>
      <c r="FA19" s="49" t="s">
        <v>41</v>
      </c>
      <c r="FB19" s="49" t="s">
        <v>41</v>
      </c>
      <c r="FC19" s="49" t="s">
        <v>41</v>
      </c>
      <c r="FD19" s="49" t="s">
        <v>41</v>
      </c>
      <c r="FE19" s="13" t="s">
        <v>41</v>
      </c>
      <c r="FF19" s="13" t="s">
        <v>41</v>
      </c>
      <c r="FG19" s="13" t="s">
        <v>41</v>
      </c>
      <c r="FH19" s="13" t="s">
        <v>41</v>
      </c>
      <c r="FI19" s="13" t="s">
        <v>41</v>
      </c>
      <c r="FJ19" s="13" t="s">
        <v>41</v>
      </c>
      <c r="FK19" s="13" t="s">
        <v>41</v>
      </c>
      <c r="FL19" s="13" t="s">
        <v>41</v>
      </c>
      <c r="FM19" s="13" t="s">
        <v>41</v>
      </c>
      <c r="FN19" s="13" t="s">
        <v>41</v>
      </c>
      <c r="FO19" s="13" t="s">
        <v>41</v>
      </c>
      <c r="FP19" s="13" t="s">
        <v>41</v>
      </c>
      <c r="FQ19" s="13" t="s">
        <v>41</v>
      </c>
      <c r="FR19" s="13" t="s">
        <v>41</v>
      </c>
      <c r="FS19" s="13" t="s">
        <v>41</v>
      </c>
      <c r="FT19" s="13" t="s">
        <v>41</v>
      </c>
      <c r="FU19" s="13" t="s">
        <v>41</v>
      </c>
      <c r="FV19" s="13" t="s">
        <v>41</v>
      </c>
      <c r="FW19" s="13" t="s">
        <v>41</v>
      </c>
      <c r="FX19" s="13" t="s">
        <v>41</v>
      </c>
      <c r="FY19" s="13" t="s">
        <v>41</v>
      </c>
      <c r="FZ19" s="13" t="s">
        <v>41</v>
      </c>
      <c r="GA19" s="13" t="s">
        <v>41</v>
      </c>
      <c r="GB19" s="13" t="s">
        <v>41</v>
      </c>
      <c r="GC19" s="13" t="s">
        <v>41</v>
      </c>
      <c r="GD19" s="13" t="s">
        <v>41</v>
      </c>
      <c r="GE19" s="13" t="s">
        <v>41</v>
      </c>
      <c r="GF19" s="13" t="s">
        <v>41</v>
      </c>
      <c r="GG19" s="13" t="s">
        <v>41</v>
      </c>
      <c r="GH19" s="13" t="s">
        <v>41</v>
      </c>
      <c r="GI19" s="59" t="s">
        <v>841</v>
      </c>
      <c r="GJ19" s="13" t="s">
        <v>41</v>
      </c>
      <c r="GK19" s="13"/>
      <c r="GL19" s="13"/>
      <c r="GM19" s="13"/>
      <c r="GN19" s="13"/>
      <c r="GO19" s="13"/>
    </row>
    <row r="20" s="113" customFormat="true" ht="15.75" hidden="true" customHeight="false" outlineLevel="0" collapsed="false">
      <c r="A20" s="33" t="s">
        <v>172</v>
      </c>
      <c r="B20" s="180" t="s">
        <v>33</v>
      </c>
      <c r="C20" s="180" t="s">
        <v>33</v>
      </c>
      <c r="D20" s="180" t="s">
        <v>33</v>
      </c>
      <c r="E20" s="180" t="s">
        <v>33</v>
      </c>
      <c r="F20" s="180" t="s">
        <v>33</v>
      </c>
      <c r="G20" s="180" t="s">
        <v>33</v>
      </c>
      <c r="H20" s="180" t="s">
        <v>33</v>
      </c>
      <c r="I20" s="180" t="s">
        <v>33</v>
      </c>
      <c r="J20" s="180" t="s">
        <v>33</v>
      </c>
      <c r="K20" s="180" t="s">
        <v>33</v>
      </c>
      <c r="L20" s="180" t="s">
        <v>33</v>
      </c>
      <c r="M20" s="180" t="s">
        <v>33</v>
      </c>
      <c r="N20" s="180" t="s">
        <v>33</v>
      </c>
      <c r="O20" s="180" t="s">
        <v>33</v>
      </c>
      <c r="P20" s="180" t="s">
        <v>33</v>
      </c>
      <c r="Q20" s="180" t="s">
        <v>33</v>
      </c>
      <c r="R20" s="180" t="s">
        <v>33</v>
      </c>
      <c r="S20" s="180" t="s">
        <v>33</v>
      </c>
      <c r="T20" s="180" t="s">
        <v>33</v>
      </c>
      <c r="U20" s="180" t="s">
        <v>33</v>
      </c>
      <c r="V20" s="180" t="s">
        <v>33</v>
      </c>
      <c r="W20" s="180" t="s">
        <v>33</v>
      </c>
      <c r="X20" s="180" t="s">
        <v>33</v>
      </c>
      <c r="Y20" s="180" t="s">
        <v>33</v>
      </c>
      <c r="Z20" s="180" t="s">
        <v>33</v>
      </c>
      <c r="AA20" s="180" t="s">
        <v>33</v>
      </c>
      <c r="AB20" s="180" t="s">
        <v>33</v>
      </c>
      <c r="AC20" s="180" t="s">
        <v>33</v>
      </c>
      <c r="AD20" s="180" t="s">
        <v>33</v>
      </c>
      <c r="AE20" s="180" t="s">
        <v>33</v>
      </c>
      <c r="AF20" s="180" t="s">
        <v>33</v>
      </c>
      <c r="AG20" s="180" t="s">
        <v>33</v>
      </c>
      <c r="AH20" s="180" t="s">
        <v>33</v>
      </c>
      <c r="AI20" s="180" t="s">
        <v>33</v>
      </c>
      <c r="AJ20" s="180" t="s">
        <v>33</v>
      </c>
      <c r="AK20" s="180" t="s">
        <v>33</v>
      </c>
      <c r="AL20" s="180" t="s">
        <v>33</v>
      </c>
      <c r="AM20" s="180" t="s">
        <v>33</v>
      </c>
      <c r="AN20" s="180" t="s">
        <v>33</v>
      </c>
      <c r="AO20" s="180" t="s">
        <v>33</v>
      </c>
      <c r="AP20" s="180" t="s">
        <v>33</v>
      </c>
      <c r="AQ20" s="180" t="s">
        <v>33</v>
      </c>
      <c r="AR20" s="180" t="s">
        <v>33</v>
      </c>
      <c r="AS20" s="180" t="s">
        <v>33</v>
      </c>
      <c r="AT20" s="180" t="s">
        <v>33</v>
      </c>
      <c r="AU20" s="210" t="s">
        <v>41</v>
      </c>
      <c r="AV20" s="210" t="s">
        <v>41</v>
      </c>
      <c r="AW20" s="210" t="s">
        <v>41</v>
      </c>
      <c r="AX20" s="210" t="s">
        <v>41</v>
      </c>
      <c r="AY20" s="210" t="s">
        <v>41</v>
      </c>
      <c r="AZ20" s="210" t="s">
        <v>41</v>
      </c>
      <c r="BA20" s="210" t="s">
        <v>41</v>
      </c>
      <c r="BB20" s="201" t="s">
        <v>41</v>
      </c>
      <c r="BC20" s="201" t="s">
        <v>41</v>
      </c>
      <c r="BD20" s="201" t="s">
        <v>41</v>
      </c>
      <c r="BE20" s="201" t="s">
        <v>41</v>
      </c>
      <c r="BF20" s="201" t="s">
        <v>41</v>
      </c>
      <c r="BG20" s="211" t="s">
        <v>41</v>
      </c>
      <c r="BH20" s="201" t="s">
        <v>41</v>
      </c>
      <c r="BI20" s="201"/>
      <c r="BJ20" s="201"/>
      <c r="BK20" s="201"/>
      <c r="BL20" s="201"/>
      <c r="BM20" s="201"/>
      <c r="BN20" s="201"/>
      <c r="BO20" s="201"/>
      <c r="BP20" s="201"/>
      <c r="BQ20" s="201"/>
      <c r="BR20" s="201"/>
      <c r="BS20" s="201"/>
      <c r="BT20" s="201"/>
      <c r="BU20" s="201"/>
      <c r="BV20" s="201"/>
      <c r="BW20" s="201"/>
      <c r="BX20" s="201"/>
      <c r="BY20" s="201"/>
      <c r="BZ20" s="201"/>
      <c r="CA20" s="201"/>
      <c r="CB20" s="201"/>
      <c r="CC20" s="201"/>
      <c r="CD20" s="201"/>
      <c r="CE20" s="201"/>
      <c r="CF20" s="201"/>
      <c r="CG20" s="201"/>
      <c r="CH20" s="201"/>
      <c r="CI20" s="201"/>
      <c r="CJ20" s="201"/>
      <c r="CK20" s="201"/>
      <c r="CL20" s="201"/>
      <c r="CM20" s="201"/>
      <c r="CN20" s="206"/>
      <c r="CO20" s="206"/>
      <c r="CP20" s="206"/>
      <c r="CQ20" s="206"/>
      <c r="CR20" s="206"/>
      <c r="CS20" s="206"/>
      <c r="CT20" s="206"/>
      <c r="CU20" s="206"/>
      <c r="CV20" s="207"/>
      <c r="CW20" s="206"/>
      <c r="CX20" s="206"/>
      <c r="CY20" s="206"/>
      <c r="CZ20" s="206"/>
      <c r="DA20" s="206"/>
      <c r="DB20" s="206"/>
      <c r="DC20" s="206"/>
      <c r="DD20" s="206"/>
      <c r="DE20" s="206"/>
      <c r="DF20" s="206"/>
      <c r="DG20" s="206"/>
      <c r="DH20" s="207"/>
      <c r="DI20" s="206"/>
      <c r="DJ20" s="206"/>
      <c r="DK20" s="206"/>
      <c r="DL20" s="206"/>
      <c r="DM20" s="206"/>
      <c r="DN20" s="206"/>
      <c r="DO20" s="206"/>
      <c r="DP20" s="206"/>
      <c r="DQ20" s="206"/>
      <c r="DR20" s="206"/>
      <c r="DS20" s="206"/>
      <c r="DT20" s="206"/>
      <c r="DU20" s="206"/>
      <c r="DV20" s="206"/>
      <c r="DW20" s="207"/>
      <c r="DX20" s="206"/>
      <c r="DY20" s="206"/>
      <c r="DZ20" s="206"/>
      <c r="EA20" s="206"/>
      <c r="EB20" s="206"/>
      <c r="EC20" s="206"/>
      <c r="ED20" s="206"/>
      <c r="EE20" s="206"/>
      <c r="EF20" s="206"/>
      <c r="EG20" s="206"/>
      <c r="EH20" s="206"/>
      <c r="EI20" s="206"/>
      <c r="EJ20" s="206"/>
      <c r="EK20" s="206"/>
      <c r="EL20" s="206"/>
      <c r="EM20" s="206"/>
      <c r="EN20" s="206"/>
      <c r="EO20" s="206"/>
      <c r="EP20" s="206"/>
      <c r="EQ20" s="206"/>
      <c r="ER20" s="206"/>
      <c r="ES20" s="206"/>
      <c r="ET20" s="207"/>
      <c r="EU20" s="207"/>
      <c r="EV20" s="206"/>
      <c r="EW20" s="206"/>
      <c r="EX20" s="206"/>
      <c r="EY20" s="206"/>
      <c r="EZ20" s="206"/>
      <c r="FA20" s="206"/>
      <c r="FB20" s="206"/>
      <c r="FC20" s="206"/>
      <c r="FD20" s="206"/>
      <c r="FE20" s="206"/>
      <c r="FF20" s="206"/>
      <c r="FG20" s="206"/>
      <c r="FH20" s="206"/>
      <c r="FI20" s="206"/>
      <c r="FJ20" s="206"/>
      <c r="FK20" s="206"/>
      <c r="FL20" s="206"/>
      <c r="FM20" s="206"/>
      <c r="FN20" s="206"/>
      <c r="FO20" s="206"/>
      <c r="FP20" s="206"/>
      <c r="FQ20" s="206"/>
      <c r="FR20" s="206"/>
      <c r="FS20" s="206"/>
      <c r="FT20" s="206"/>
      <c r="FU20" s="206"/>
      <c r="FV20" s="206"/>
      <c r="FW20" s="206"/>
      <c r="FX20" s="206"/>
      <c r="FY20" s="206"/>
      <c r="FZ20" s="206"/>
      <c r="GA20" s="206"/>
      <c r="GB20" s="206"/>
      <c r="GC20" s="212"/>
      <c r="GD20" s="212"/>
      <c r="GE20" s="212"/>
      <c r="GF20" s="212"/>
      <c r="GG20" s="212"/>
      <c r="GH20" s="212"/>
      <c r="GI20" s="212"/>
      <c r="GJ20" s="212"/>
      <c r="GK20" s="212"/>
      <c r="GL20" s="212"/>
      <c r="GM20" s="212"/>
      <c r="GN20" s="212"/>
      <c r="GO20" s="212"/>
    </row>
    <row r="21" customFormat="false" ht="15.75" hidden="true" customHeight="false" outlineLevel="0" collapsed="false">
      <c r="A21" s="33" t="s">
        <v>175</v>
      </c>
      <c r="B21" s="184" t="s">
        <v>33</v>
      </c>
      <c r="C21" s="184" t="s">
        <v>33</v>
      </c>
      <c r="D21" s="184" t="s">
        <v>33</v>
      </c>
      <c r="E21" s="184" t="s">
        <v>33</v>
      </c>
      <c r="F21" s="184" t="s">
        <v>33</v>
      </c>
      <c r="G21" s="184" t="s">
        <v>33</v>
      </c>
      <c r="H21" s="184" t="s">
        <v>33</v>
      </c>
      <c r="I21" s="45" t="s">
        <v>37</v>
      </c>
      <c r="J21" s="29" t="s">
        <v>41</v>
      </c>
      <c r="K21" s="29" t="s">
        <v>41</v>
      </c>
      <c r="L21" s="184" t="s">
        <v>33</v>
      </c>
      <c r="M21" s="184" t="s">
        <v>33</v>
      </c>
      <c r="N21" s="184" t="s">
        <v>33</v>
      </c>
      <c r="O21" s="184" t="s">
        <v>33</v>
      </c>
      <c r="P21" s="184" t="s">
        <v>33</v>
      </c>
      <c r="Q21" s="184" t="s">
        <v>33</v>
      </c>
      <c r="R21" s="184" t="s">
        <v>33</v>
      </c>
      <c r="S21" s="184" t="s">
        <v>33</v>
      </c>
      <c r="T21" s="184" t="s">
        <v>33</v>
      </c>
      <c r="U21" s="184" t="s">
        <v>33</v>
      </c>
      <c r="V21" s="184" t="s">
        <v>33</v>
      </c>
      <c r="W21" s="184" t="s">
        <v>33</v>
      </c>
      <c r="X21" s="184" t="s">
        <v>33</v>
      </c>
      <c r="Y21" s="184" t="s">
        <v>33</v>
      </c>
      <c r="Z21" s="184" t="s">
        <v>33</v>
      </c>
      <c r="AA21" s="184" t="s">
        <v>33</v>
      </c>
      <c r="AB21" s="184" t="s">
        <v>33</v>
      </c>
      <c r="AC21" s="184" t="s">
        <v>33</v>
      </c>
      <c r="AD21" s="184" t="s">
        <v>33</v>
      </c>
      <c r="AE21" s="184" t="s">
        <v>33</v>
      </c>
      <c r="AF21" s="184" t="s">
        <v>33</v>
      </c>
      <c r="AG21" s="184" t="s">
        <v>33</v>
      </c>
      <c r="AH21" s="184" t="s">
        <v>33</v>
      </c>
      <c r="AI21" s="184" t="s">
        <v>33</v>
      </c>
      <c r="AJ21" s="184" t="s">
        <v>33</v>
      </c>
      <c r="AK21" s="184" t="s">
        <v>33</v>
      </c>
      <c r="AL21" s="184" t="s">
        <v>33</v>
      </c>
      <c r="AM21" s="184" t="s">
        <v>33</v>
      </c>
      <c r="AN21" s="184" t="s">
        <v>33</v>
      </c>
      <c r="AO21" s="184" t="s">
        <v>33</v>
      </c>
      <c r="AP21" s="184" t="s">
        <v>33</v>
      </c>
      <c r="AQ21" s="184" t="s">
        <v>33</v>
      </c>
      <c r="AR21" s="184" t="s">
        <v>33</v>
      </c>
      <c r="AS21" s="184" t="s">
        <v>33</v>
      </c>
      <c r="AT21" s="184" t="s">
        <v>33</v>
      </c>
      <c r="AU21" s="184" t="s">
        <v>33</v>
      </c>
      <c r="AV21" s="184" t="s">
        <v>33</v>
      </c>
      <c r="AW21" s="184" t="s">
        <v>33</v>
      </c>
      <c r="AX21" s="184" t="s">
        <v>33</v>
      </c>
      <c r="AY21" s="184" t="s">
        <v>33</v>
      </c>
      <c r="AZ21" s="184" t="s">
        <v>33</v>
      </c>
      <c r="BA21" s="184" t="s">
        <v>33</v>
      </c>
      <c r="BB21" s="184" t="s">
        <v>33</v>
      </c>
      <c r="BC21" s="184" t="s">
        <v>33</v>
      </c>
      <c r="BD21" s="184" t="s">
        <v>33</v>
      </c>
      <c r="BE21" s="184" t="s">
        <v>33</v>
      </c>
      <c r="BF21" s="184" t="s">
        <v>33</v>
      </c>
      <c r="BG21" s="186" t="s">
        <v>33</v>
      </c>
      <c r="BH21" s="184" t="s">
        <v>33</v>
      </c>
      <c r="BI21" s="184" t="s">
        <v>33</v>
      </c>
      <c r="BJ21" s="184" t="s">
        <v>33</v>
      </c>
      <c r="BK21" s="184" t="s">
        <v>33</v>
      </c>
      <c r="BL21" s="184" t="s">
        <v>33</v>
      </c>
      <c r="BM21" s="184" t="s">
        <v>33</v>
      </c>
      <c r="BN21" s="184" t="s">
        <v>33</v>
      </c>
      <c r="BO21" s="184" t="s">
        <v>33</v>
      </c>
      <c r="BP21" s="184" t="s">
        <v>33</v>
      </c>
      <c r="BQ21" s="184" t="s">
        <v>33</v>
      </c>
      <c r="BR21" s="184" t="s">
        <v>33</v>
      </c>
      <c r="BS21" s="184" t="s">
        <v>33</v>
      </c>
      <c r="BT21" s="184" t="s">
        <v>33</v>
      </c>
      <c r="BU21" s="184" t="s">
        <v>33</v>
      </c>
      <c r="BV21" s="184" t="s">
        <v>33</v>
      </c>
      <c r="BW21" s="184" t="s">
        <v>33</v>
      </c>
      <c r="BX21" s="184" t="s">
        <v>33</v>
      </c>
      <c r="BY21" s="184" t="s">
        <v>33</v>
      </c>
      <c r="BZ21" s="184" t="s">
        <v>33</v>
      </c>
      <c r="CA21" s="184" t="s">
        <v>33</v>
      </c>
      <c r="CB21" s="184" t="s">
        <v>33</v>
      </c>
      <c r="CC21" s="184" t="s">
        <v>33</v>
      </c>
      <c r="CD21" s="184" t="s">
        <v>33</v>
      </c>
      <c r="CE21" s="184" t="s">
        <v>33</v>
      </c>
      <c r="CF21" s="184" t="s">
        <v>33</v>
      </c>
      <c r="CG21" s="184" t="s">
        <v>33</v>
      </c>
      <c r="CH21" s="184" t="s">
        <v>33</v>
      </c>
      <c r="CI21" s="184" t="s">
        <v>33</v>
      </c>
      <c r="CJ21" s="184" t="s">
        <v>33</v>
      </c>
      <c r="CK21" s="184" t="s">
        <v>33</v>
      </c>
      <c r="CL21" s="184" t="s">
        <v>33</v>
      </c>
      <c r="CM21" s="191" t="s">
        <v>33</v>
      </c>
      <c r="CN21" s="67" t="s">
        <v>37</v>
      </c>
      <c r="CO21" s="13" t="s">
        <v>33</v>
      </c>
      <c r="CP21" s="13" t="s">
        <v>33</v>
      </c>
      <c r="CQ21" s="13" t="s">
        <v>37</v>
      </c>
      <c r="CR21" s="13" t="s">
        <v>37</v>
      </c>
      <c r="CS21" s="13" t="s">
        <v>37</v>
      </c>
      <c r="CT21" s="13" t="s">
        <v>37</v>
      </c>
      <c r="CU21" s="13" t="s">
        <v>37</v>
      </c>
      <c r="CV21" s="170" t="s">
        <v>37</v>
      </c>
      <c r="CW21" s="170" t="s">
        <v>37</v>
      </c>
      <c r="CX21" s="49" t="s">
        <v>37</v>
      </c>
      <c r="CY21" s="49" t="s">
        <v>37</v>
      </c>
      <c r="CZ21" s="49" t="s">
        <v>37</v>
      </c>
      <c r="DA21" s="49" t="s">
        <v>37</v>
      </c>
      <c r="DB21" s="49" t="s">
        <v>37</v>
      </c>
      <c r="DC21" s="49" t="s">
        <v>37</v>
      </c>
      <c r="DD21" s="49" t="s">
        <v>37</v>
      </c>
      <c r="DE21" s="49" t="s">
        <v>41</v>
      </c>
      <c r="DF21" s="49" t="s">
        <v>47</v>
      </c>
      <c r="DG21" s="49" t="s">
        <v>47</v>
      </c>
      <c r="DH21" s="170" t="s">
        <v>47</v>
      </c>
      <c r="DI21" s="49" t="s">
        <v>47</v>
      </c>
      <c r="DJ21" s="49" t="s">
        <v>47</v>
      </c>
      <c r="DK21" s="49" t="s">
        <v>47</v>
      </c>
      <c r="DL21" s="49" t="s">
        <v>47</v>
      </c>
      <c r="DM21" s="49" t="s">
        <v>47</v>
      </c>
      <c r="DN21" s="49" t="s">
        <v>47</v>
      </c>
      <c r="DO21" s="49" t="s">
        <v>47</v>
      </c>
      <c r="DP21" s="49" t="s">
        <v>47</v>
      </c>
      <c r="DQ21" s="49" t="s">
        <v>47</v>
      </c>
      <c r="DR21" s="49" t="s">
        <v>47</v>
      </c>
      <c r="DS21" s="49" t="s">
        <v>47</v>
      </c>
      <c r="DT21" s="49" t="s">
        <v>47</v>
      </c>
      <c r="DU21" s="49" t="s">
        <v>47</v>
      </c>
      <c r="DV21" s="49" t="s">
        <v>47</v>
      </c>
      <c r="DW21" s="49" t="s">
        <v>47</v>
      </c>
      <c r="DX21" s="49" t="s">
        <v>47</v>
      </c>
      <c r="DY21" s="49" t="s">
        <v>47</v>
      </c>
      <c r="DZ21" s="49" t="s">
        <v>47</v>
      </c>
      <c r="EA21" s="49" t="s">
        <v>47</v>
      </c>
      <c r="EB21" s="49" t="s">
        <v>47</v>
      </c>
      <c r="EC21" s="49" t="s">
        <v>47</v>
      </c>
      <c r="ED21" s="49" t="s">
        <v>47</v>
      </c>
      <c r="EE21" s="49" t="s">
        <v>47</v>
      </c>
      <c r="EF21" s="49" t="s">
        <v>47</v>
      </c>
      <c r="EG21" s="49" t="s">
        <v>47</v>
      </c>
      <c r="EH21" s="49" t="s">
        <v>47</v>
      </c>
      <c r="EI21" s="49" t="s">
        <v>47</v>
      </c>
      <c r="EJ21" s="49" t="s">
        <v>47</v>
      </c>
      <c r="EK21" s="49" t="s">
        <v>47</v>
      </c>
      <c r="EL21" s="49" t="s">
        <v>47</v>
      </c>
      <c r="EM21" s="49" t="s">
        <v>47</v>
      </c>
      <c r="EN21" s="49" t="s">
        <v>47</v>
      </c>
      <c r="EO21" s="49" t="s">
        <v>47</v>
      </c>
      <c r="EP21" s="49" t="s">
        <v>47</v>
      </c>
      <c r="EQ21" s="49" t="s">
        <v>47</v>
      </c>
      <c r="ER21" s="49" t="s">
        <v>47</v>
      </c>
      <c r="ES21" s="49" t="s">
        <v>47</v>
      </c>
      <c r="ET21" s="170" t="s">
        <v>47</v>
      </c>
      <c r="EU21" s="170" t="s">
        <v>47</v>
      </c>
      <c r="EV21" s="49" t="s">
        <v>47</v>
      </c>
      <c r="EW21" s="49" t="s">
        <v>47</v>
      </c>
      <c r="EX21" s="49" t="s">
        <v>47</v>
      </c>
      <c r="EY21" s="49" t="s">
        <v>47</v>
      </c>
      <c r="EZ21" s="49" t="s">
        <v>47</v>
      </c>
      <c r="FA21" s="49" t="s">
        <v>47</v>
      </c>
      <c r="FB21" s="49" t="s">
        <v>47</v>
      </c>
      <c r="FC21" s="49" t="s">
        <v>47</v>
      </c>
      <c r="FD21" s="49" t="s">
        <v>47</v>
      </c>
      <c r="FE21" s="49" t="s">
        <v>47</v>
      </c>
      <c r="FF21" s="49" t="s">
        <v>47</v>
      </c>
      <c r="FG21" s="49" t="s">
        <v>47</v>
      </c>
      <c r="FH21" s="49" t="s">
        <v>47</v>
      </c>
      <c r="FI21" s="49" t="s">
        <v>47</v>
      </c>
      <c r="FJ21" s="49" t="s">
        <v>47</v>
      </c>
      <c r="FK21" s="49" t="s">
        <v>47</v>
      </c>
      <c r="FL21" s="49" t="s">
        <v>47</v>
      </c>
      <c r="FM21" s="49" t="s">
        <v>47</v>
      </c>
      <c r="FN21" s="49" t="s">
        <v>47</v>
      </c>
      <c r="FO21" s="49" t="s">
        <v>47</v>
      </c>
      <c r="FP21" s="49" t="s">
        <v>47</v>
      </c>
      <c r="FQ21" s="49" t="s">
        <v>47</v>
      </c>
      <c r="FR21" s="49" t="s">
        <v>47</v>
      </c>
      <c r="FS21" s="49" t="s">
        <v>47</v>
      </c>
      <c r="FT21" s="49" t="s">
        <v>47</v>
      </c>
      <c r="FU21" s="49" t="s">
        <v>47</v>
      </c>
      <c r="FV21" s="49" t="s">
        <v>47</v>
      </c>
      <c r="FW21" s="49" t="s">
        <v>47</v>
      </c>
      <c r="FX21" s="49" t="s">
        <v>47</v>
      </c>
      <c r="FY21" s="49" t="s">
        <v>47</v>
      </c>
      <c r="FZ21" s="49" t="s">
        <v>47</v>
      </c>
      <c r="GA21" s="49" t="s">
        <v>47</v>
      </c>
      <c r="GB21" s="49" t="s">
        <v>47</v>
      </c>
      <c r="GC21" s="13"/>
      <c r="GD21" s="13"/>
      <c r="GE21" s="13"/>
      <c r="GF21" s="13"/>
      <c r="GG21" s="13"/>
      <c r="GH21" s="13"/>
      <c r="GI21" s="13"/>
      <c r="GJ21" s="13"/>
      <c r="GK21" s="13"/>
      <c r="GL21" s="13"/>
      <c r="GM21" s="13"/>
      <c r="GN21" s="13"/>
      <c r="GO21" s="13"/>
    </row>
    <row r="22" customFormat="false" ht="15.75" hidden="true" customHeight="false" outlineLevel="0" collapsed="false">
      <c r="A22" s="33" t="s">
        <v>178</v>
      </c>
      <c r="B22" s="180" t="s">
        <v>33</v>
      </c>
      <c r="C22" s="180" t="s">
        <v>33</v>
      </c>
      <c r="D22" s="180" t="s">
        <v>33</v>
      </c>
      <c r="E22" s="180" t="s">
        <v>33</v>
      </c>
      <c r="F22" s="198" t="s">
        <v>37</v>
      </c>
      <c r="G22" s="180" t="s">
        <v>33</v>
      </c>
      <c r="H22" s="180" t="s">
        <v>33</v>
      </c>
      <c r="I22" s="180" t="s">
        <v>33</v>
      </c>
      <c r="J22" s="180" t="s">
        <v>33</v>
      </c>
      <c r="K22" s="180" t="s">
        <v>33</v>
      </c>
      <c r="L22" s="180" t="s">
        <v>33</v>
      </c>
      <c r="M22" s="180" t="s">
        <v>33</v>
      </c>
      <c r="N22" s="180" t="s">
        <v>33</v>
      </c>
      <c r="O22" s="198" t="s">
        <v>37</v>
      </c>
      <c r="P22" s="180" t="s">
        <v>33</v>
      </c>
      <c r="Q22" s="180" t="s">
        <v>33</v>
      </c>
      <c r="R22" s="198" t="s">
        <v>37</v>
      </c>
      <c r="S22" s="198" t="s">
        <v>37</v>
      </c>
      <c r="T22" s="180" t="s">
        <v>33</v>
      </c>
      <c r="U22" s="180" t="s">
        <v>33</v>
      </c>
      <c r="V22" s="180" t="s">
        <v>33</v>
      </c>
      <c r="W22" s="198" t="s">
        <v>37</v>
      </c>
      <c r="X22" s="180" t="s">
        <v>33</v>
      </c>
      <c r="Y22" s="180" t="s">
        <v>33</v>
      </c>
      <c r="Z22" s="180" t="s">
        <v>33</v>
      </c>
      <c r="AA22" s="180" t="s">
        <v>33</v>
      </c>
      <c r="AB22" s="180" t="s">
        <v>33</v>
      </c>
      <c r="AC22" s="180" t="s">
        <v>33</v>
      </c>
      <c r="AD22" s="180" t="s">
        <v>33</v>
      </c>
      <c r="AE22" s="179" t="s">
        <v>41</v>
      </c>
      <c r="AF22" s="179" t="s">
        <v>41</v>
      </c>
      <c r="AG22" s="179" t="s">
        <v>41</v>
      </c>
      <c r="AH22" s="199"/>
      <c r="AI22" s="199"/>
      <c r="AJ22" s="199"/>
      <c r="AK22" s="199"/>
      <c r="AL22" s="199"/>
      <c r="AM22" s="199"/>
      <c r="AN22" s="199"/>
      <c r="AO22" s="200"/>
      <c r="AP22" s="200"/>
      <c r="AQ22" s="201"/>
      <c r="AR22" s="200"/>
      <c r="AS22" s="200"/>
      <c r="AT22" s="200"/>
      <c r="AU22" s="200"/>
      <c r="AV22" s="200"/>
      <c r="AW22" s="200"/>
      <c r="AX22" s="200"/>
      <c r="AY22" s="200"/>
      <c r="AZ22" s="200"/>
      <c r="BA22" s="200"/>
      <c r="BB22" s="200"/>
      <c r="BC22" s="200"/>
      <c r="BD22" s="200"/>
      <c r="BE22" s="200"/>
      <c r="BF22" s="200"/>
      <c r="BG22" s="200"/>
      <c r="BH22" s="200"/>
      <c r="BI22" s="200"/>
      <c r="BJ22" s="200"/>
      <c r="BK22" s="200"/>
      <c r="BL22" s="200"/>
      <c r="BM22" s="200"/>
      <c r="BN22" s="200"/>
      <c r="BO22" s="200"/>
      <c r="BP22" s="200"/>
      <c r="BQ22" s="200"/>
      <c r="BR22" s="200"/>
      <c r="BS22" s="200"/>
      <c r="BT22" s="200"/>
      <c r="BU22" s="200"/>
      <c r="BV22" s="200"/>
      <c r="BW22" s="200"/>
      <c r="BX22" s="200"/>
      <c r="BY22" s="200"/>
      <c r="BZ22" s="200"/>
      <c r="CA22" s="200"/>
      <c r="CB22" s="200"/>
      <c r="CC22" s="200"/>
      <c r="CD22" s="200"/>
      <c r="CE22" s="200"/>
      <c r="CF22" s="200"/>
      <c r="CG22" s="200"/>
      <c r="CH22" s="200"/>
      <c r="CI22" s="200"/>
      <c r="CJ22" s="200"/>
      <c r="CK22" s="200"/>
      <c r="CL22" s="200"/>
      <c r="CM22" s="200"/>
      <c r="CN22" s="199"/>
      <c r="CO22" s="199"/>
      <c r="CP22" s="199"/>
      <c r="CQ22" s="199"/>
      <c r="CR22" s="199"/>
      <c r="CS22" s="199"/>
      <c r="CT22" s="199"/>
      <c r="CU22" s="199"/>
      <c r="CV22" s="202"/>
      <c r="CW22" s="199"/>
      <c r="CX22" s="196"/>
      <c r="CY22" s="196"/>
      <c r="CZ22" s="196"/>
      <c r="DA22" s="196"/>
      <c r="DB22" s="196"/>
      <c r="DC22" s="196"/>
      <c r="DD22" s="196"/>
      <c r="DE22" s="196"/>
      <c r="DF22" s="196"/>
      <c r="DG22" s="196"/>
      <c r="DH22" s="197"/>
      <c r="DI22" s="197"/>
      <c r="DJ22" s="197"/>
      <c r="DK22" s="197"/>
      <c r="DL22" s="197"/>
      <c r="DM22" s="197"/>
      <c r="DN22" s="197"/>
      <c r="DO22" s="197"/>
      <c r="DP22" s="197"/>
      <c r="DQ22" s="197"/>
      <c r="DR22" s="197"/>
      <c r="DS22" s="197"/>
      <c r="DT22" s="197"/>
      <c r="DU22" s="197"/>
      <c r="DV22" s="197"/>
      <c r="DW22" s="197"/>
      <c r="DX22" s="196"/>
      <c r="DY22" s="196"/>
      <c r="DZ22" s="196"/>
      <c r="EA22" s="196"/>
      <c r="EB22" s="196"/>
      <c r="EC22" s="196"/>
      <c r="ED22" s="196"/>
      <c r="EE22" s="196"/>
      <c r="EF22" s="196"/>
      <c r="EG22" s="196"/>
      <c r="EH22" s="196"/>
      <c r="EI22" s="196"/>
      <c r="EJ22" s="196"/>
      <c r="EK22" s="196"/>
      <c r="EL22" s="196"/>
      <c r="EM22" s="196"/>
      <c r="EN22" s="196"/>
      <c r="EO22" s="196"/>
      <c r="EP22" s="196"/>
      <c r="EQ22" s="196"/>
      <c r="ER22" s="196"/>
      <c r="ES22" s="196"/>
      <c r="ET22" s="197"/>
      <c r="EU22" s="197"/>
      <c r="EV22" s="196"/>
      <c r="EW22" s="196"/>
      <c r="EX22" s="196"/>
      <c r="EY22" s="196"/>
      <c r="EZ22" s="196"/>
      <c r="FA22" s="196"/>
      <c r="FB22" s="196"/>
      <c r="FC22" s="196"/>
      <c r="FD22" s="196"/>
      <c r="FE22" s="196"/>
      <c r="FF22" s="196"/>
      <c r="FG22" s="196"/>
      <c r="FH22" s="196"/>
      <c r="FI22" s="196"/>
      <c r="FJ22" s="196"/>
      <c r="FK22" s="196"/>
      <c r="FL22" s="196"/>
      <c r="FM22" s="196"/>
      <c r="FN22" s="196"/>
      <c r="FO22" s="196"/>
      <c r="FP22" s="196"/>
      <c r="FQ22" s="196"/>
      <c r="FR22" s="196"/>
      <c r="FS22" s="196"/>
      <c r="FT22" s="196"/>
      <c r="FU22" s="196"/>
      <c r="FV22" s="196"/>
      <c r="FW22" s="196"/>
      <c r="FX22" s="196"/>
      <c r="FY22" s="196"/>
      <c r="FZ22" s="196"/>
      <c r="GA22" s="196"/>
      <c r="GB22" s="196"/>
      <c r="GC22" s="13"/>
      <c r="GD22" s="13"/>
      <c r="GE22" s="13"/>
      <c r="GF22" s="13"/>
      <c r="GG22" s="13"/>
      <c r="GH22" s="13"/>
      <c r="GI22" s="13"/>
      <c r="GJ22" s="13"/>
      <c r="GK22" s="13"/>
      <c r="GL22" s="13"/>
      <c r="GM22" s="13"/>
      <c r="GN22" s="13"/>
      <c r="GO22" s="13"/>
    </row>
    <row r="23" customFormat="false" ht="15.75" hidden="false" customHeight="false" outlineLevel="0" collapsed="false">
      <c r="A23" s="20" t="s">
        <v>182</v>
      </c>
      <c r="B23" s="184" t="s">
        <v>33</v>
      </c>
      <c r="C23" s="184" t="s">
        <v>33</v>
      </c>
      <c r="D23" s="184" t="s">
        <v>33</v>
      </c>
      <c r="E23" s="184" t="s">
        <v>33</v>
      </c>
      <c r="F23" s="184" t="s">
        <v>33</v>
      </c>
      <c r="G23" s="184" t="s">
        <v>33</v>
      </c>
      <c r="H23" s="184" t="s">
        <v>33</v>
      </c>
      <c r="I23" s="184" t="s">
        <v>33</v>
      </c>
      <c r="J23" s="184" t="s">
        <v>33</v>
      </c>
      <c r="K23" s="184" t="s">
        <v>33</v>
      </c>
      <c r="L23" s="184" t="s">
        <v>33</v>
      </c>
      <c r="M23" s="184" t="s">
        <v>33</v>
      </c>
      <c r="N23" s="184" t="s">
        <v>33</v>
      </c>
      <c r="O23" s="184" t="s">
        <v>33</v>
      </c>
      <c r="P23" s="184" t="s">
        <v>33</v>
      </c>
      <c r="Q23" s="184" t="s">
        <v>33</v>
      </c>
      <c r="R23" s="184" t="s">
        <v>33</v>
      </c>
      <c r="S23" s="45" t="s">
        <v>37</v>
      </c>
      <c r="T23" s="184" t="s">
        <v>33</v>
      </c>
      <c r="U23" s="184" t="s">
        <v>33</v>
      </c>
      <c r="V23" s="184" t="s">
        <v>33</v>
      </c>
      <c r="W23" s="184" t="s">
        <v>33</v>
      </c>
      <c r="X23" s="184" t="s">
        <v>33</v>
      </c>
      <c r="Y23" s="184" t="s">
        <v>33</v>
      </c>
      <c r="Z23" s="184" t="s">
        <v>33</v>
      </c>
      <c r="AA23" s="184" t="s">
        <v>33</v>
      </c>
      <c r="AB23" s="184" t="s">
        <v>33</v>
      </c>
      <c r="AC23" s="184" t="s">
        <v>33</v>
      </c>
      <c r="AD23" s="184" t="s">
        <v>33</v>
      </c>
      <c r="AE23" s="184" t="s">
        <v>33</v>
      </c>
      <c r="AF23" s="184" t="s">
        <v>33</v>
      </c>
      <c r="AG23" s="184" t="s">
        <v>33</v>
      </c>
      <c r="AH23" s="184" t="s">
        <v>33</v>
      </c>
      <c r="AI23" s="184" t="s">
        <v>33</v>
      </c>
      <c r="AJ23" s="184" t="s">
        <v>33</v>
      </c>
      <c r="AK23" s="184" t="s">
        <v>33</v>
      </c>
      <c r="AL23" s="184" t="s">
        <v>33</v>
      </c>
      <c r="AM23" s="184" t="s">
        <v>33</v>
      </c>
      <c r="AN23" s="184" t="s">
        <v>33</v>
      </c>
      <c r="AO23" s="184" t="s">
        <v>33</v>
      </c>
      <c r="AP23" s="184" t="s">
        <v>33</v>
      </c>
      <c r="AQ23" s="213" t="s">
        <v>33</v>
      </c>
      <c r="AR23" s="213" t="s">
        <v>33</v>
      </c>
      <c r="AS23" s="184" t="s">
        <v>33</v>
      </c>
      <c r="AT23" s="184" t="s">
        <v>33</v>
      </c>
      <c r="AU23" s="184" t="s">
        <v>33</v>
      </c>
      <c r="AV23" s="184" t="s">
        <v>33</v>
      </c>
      <c r="AW23" s="184" t="s">
        <v>33</v>
      </c>
      <c r="AX23" s="184" t="s">
        <v>33</v>
      </c>
      <c r="AY23" s="184" t="s">
        <v>33</v>
      </c>
      <c r="AZ23" s="184" t="s">
        <v>33</v>
      </c>
      <c r="BA23" s="184" t="s">
        <v>33</v>
      </c>
      <c r="BB23" s="184" t="s">
        <v>33</v>
      </c>
      <c r="BC23" s="184" t="s">
        <v>33</v>
      </c>
      <c r="BD23" s="184" t="s">
        <v>33</v>
      </c>
      <c r="BE23" s="184" t="s">
        <v>33</v>
      </c>
      <c r="BF23" s="184" t="s">
        <v>33</v>
      </c>
      <c r="BG23" s="184" t="s">
        <v>33</v>
      </c>
      <c r="BH23" s="184" t="s">
        <v>33</v>
      </c>
      <c r="BI23" s="184" t="s">
        <v>33</v>
      </c>
      <c r="BJ23" s="184" t="s">
        <v>33</v>
      </c>
      <c r="BK23" s="184" t="s">
        <v>33</v>
      </c>
      <c r="BL23" s="184" t="s">
        <v>33</v>
      </c>
      <c r="BM23" s="184" t="s">
        <v>33</v>
      </c>
      <c r="BN23" s="184" t="s">
        <v>33</v>
      </c>
      <c r="BO23" s="184" t="s">
        <v>33</v>
      </c>
      <c r="BP23" s="184" t="s">
        <v>33</v>
      </c>
      <c r="BQ23" s="184" t="s">
        <v>33</v>
      </c>
      <c r="BR23" s="184" t="s">
        <v>33</v>
      </c>
      <c r="BS23" s="184" t="s">
        <v>33</v>
      </c>
      <c r="BT23" s="184" t="s">
        <v>33</v>
      </c>
      <c r="BU23" s="184" t="s">
        <v>33</v>
      </c>
      <c r="BV23" s="184" t="s">
        <v>33</v>
      </c>
      <c r="BW23" s="184" t="s">
        <v>33</v>
      </c>
      <c r="BX23" s="184" t="s">
        <v>33</v>
      </c>
      <c r="BY23" s="184" t="s">
        <v>33</v>
      </c>
      <c r="BZ23" s="184" t="s">
        <v>33</v>
      </c>
      <c r="CA23" s="184" t="s">
        <v>33</v>
      </c>
      <c r="CB23" s="184" t="s">
        <v>33</v>
      </c>
      <c r="CC23" s="184" t="s">
        <v>33</v>
      </c>
      <c r="CD23" s="184" t="s">
        <v>33</v>
      </c>
      <c r="CE23" s="184" t="s">
        <v>33</v>
      </c>
      <c r="CF23" s="184" t="s">
        <v>33</v>
      </c>
      <c r="CG23" s="184" t="s">
        <v>33</v>
      </c>
      <c r="CH23" s="184" t="s">
        <v>33</v>
      </c>
      <c r="CI23" s="184" t="s">
        <v>33</v>
      </c>
      <c r="CJ23" s="184" t="s">
        <v>33</v>
      </c>
      <c r="CK23" s="184" t="s">
        <v>33</v>
      </c>
      <c r="CL23" s="184" t="s">
        <v>33</v>
      </c>
      <c r="CM23" s="191" t="s">
        <v>33</v>
      </c>
      <c r="CN23" s="187" t="s">
        <v>33</v>
      </c>
      <c r="CO23" s="187" t="s">
        <v>33</v>
      </c>
      <c r="CP23" s="13" t="s">
        <v>33</v>
      </c>
      <c r="CQ23" s="13" t="s">
        <v>33</v>
      </c>
      <c r="CR23" s="13" t="s">
        <v>33</v>
      </c>
      <c r="CS23" s="49" t="s">
        <v>33</v>
      </c>
      <c r="CT23" s="13" t="s">
        <v>33</v>
      </c>
      <c r="CU23" s="13" t="s">
        <v>33</v>
      </c>
      <c r="CV23" s="170" t="s">
        <v>33</v>
      </c>
      <c r="CW23" s="170" t="s">
        <v>33</v>
      </c>
      <c r="CX23" s="49" t="s">
        <v>33</v>
      </c>
      <c r="CY23" s="49" t="s">
        <v>33</v>
      </c>
      <c r="CZ23" s="49" t="s">
        <v>33</v>
      </c>
      <c r="DA23" s="49" t="s">
        <v>33</v>
      </c>
      <c r="DB23" s="49" t="s">
        <v>33</v>
      </c>
      <c r="DC23" s="49" t="s">
        <v>33</v>
      </c>
      <c r="DD23" s="49" t="s">
        <v>33</v>
      </c>
      <c r="DE23" s="49" t="s">
        <v>33</v>
      </c>
      <c r="DF23" s="49" t="s">
        <v>33</v>
      </c>
      <c r="DG23" s="49" t="s">
        <v>33</v>
      </c>
      <c r="DH23" s="49" t="s">
        <v>33</v>
      </c>
      <c r="DI23" s="49" t="s">
        <v>33</v>
      </c>
      <c r="DJ23" s="49" t="s">
        <v>33</v>
      </c>
      <c r="DK23" s="49" t="s">
        <v>33</v>
      </c>
      <c r="DL23" s="49" t="s">
        <v>33</v>
      </c>
      <c r="DM23" s="49" t="s">
        <v>33</v>
      </c>
      <c r="DN23" s="49" t="s">
        <v>33</v>
      </c>
      <c r="DO23" s="49" t="s">
        <v>37</v>
      </c>
      <c r="DP23" s="49" t="s">
        <v>33</v>
      </c>
      <c r="DQ23" s="49" t="s">
        <v>33</v>
      </c>
      <c r="DR23" s="49" t="s">
        <v>33</v>
      </c>
      <c r="DS23" s="49" t="s">
        <v>33</v>
      </c>
      <c r="DT23" s="49" t="s">
        <v>33</v>
      </c>
      <c r="DU23" s="49" t="s">
        <v>33</v>
      </c>
      <c r="DV23" s="49" t="s">
        <v>33</v>
      </c>
      <c r="DW23" s="170" t="s">
        <v>33</v>
      </c>
      <c r="DX23" s="49" t="s">
        <v>33</v>
      </c>
      <c r="DY23" s="49" t="s">
        <v>33</v>
      </c>
      <c r="DZ23" s="49" t="s">
        <v>33</v>
      </c>
      <c r="EA23" s="49" t="s">
        <v>33</v>
      </c>
      <c r="EB23" s="49" t="s">
        <v>33</v>
      </c>
      <c r="EC23" s="49" t="s">
        <v>33</v>
      </c>
      <c r="ED23" s="49" t="s">
        <v>33</v>
      </c>
      <c r="EE23" s="49" t="s">
        <v>33</v>
      </c>
      <c r="EF23" s="49" t="s">
        <v>33</v>
      </c>
      <c r="EG23" s="49" t="s">
        <v>33</v>
      </c>
      <c r="EH23" s="49" t="s">
        <v>33</v>
      </c>
      <c r="EI23" s="49" t="s">
        <v>33</v>
      </c>
      <c r="EJ23" s="49" t="s">
        <v>33</v>
      </c>
      <c r="EK23" s="49" t="s">
        <v>33</v>
      </c>
      <c r="EL23" s="49" t="s">
        <v>33</v>
      </c>
      <c r="EM23" s="49" t="s">
        <v>33</v>
      </c>
      <c r="EN23" s="49" t="s">
        <v>33</v>
      </c>
      <c r="EO23" s="49" t="s">
        <v>33</v>
      </c>
      <c r="EP23" s="49" t="s">
        <v>33</v>
      </c>
      <c r="EQ23" s="49" t="s">
        <v>33</v>
      </c>
      <c r="ER23" s="49" t="s">
        <v>33</v>
      </c>
      <c r="ES23" s="49" t="s">
        <v>33</v>
      </c>
      <c r="ET23" s="49" t="s">
        <v>33</v>
      </c>
      <c r="EU23" s="170" t="s">
        <v>33</v>
      </c>
      <c r="EV23" s="49" t="s">
        <v>33</v>
      </c>
      <c r="EW23" s="49" t="s">
        <v>33</v>
      </c>
      <c r="EX23" s="49" t="s">
        <v>33</v>
      </c>
      <c r="EY23" s="49" t="s">
        <v>33</v>
      </c>
      <c r="EZ23" s="49" t="s">
        <v>33</v>
      </c>
      <c r="FA23" s="49" t="s">
        <v>33</v>
      </c>
      <c r="FB23" s="49" t="s">
        <v>33</v>
      </c>
      <c r="FC23" s="49" t="s">
        <v>33</v>
      </c>
      <c r="FD23" s="49" t="s">
        <v>33</v>
      </c>
      <c r="FE23" s="13" t="s">
        <v>33</v>
      </c>
      <c r="FF23" s="13" t="s">
        <v>41</v>
      </c>
      <c r="FG23" s="13" t="s">
        <v>33</v>
      </c>
      <c r="FH23" s="13" t="s">
        <v>33</v>
      </c>
      <c r="FI23" s="49" t="s">
        <v>33</v>
      </c>
      <c r="FJ23" s="49" t="s">
        <v>33</v>
      </c>
      <c r="FK23" s="49" t="s">
        <v>33</v>
      </c>
      <c r="FL23" s="49" t="s">
        <v>33</v>
      </c>
      <c r="FM23" s="49" t="s">
        <v>33</v>
      </c>
      <c r="FN23" s="49" t="s">
        <v>33</v>
      </c>
      <c r="FO23" s="49" t="s">
        <v>33</v>
      </c>
      <c r="FP23" s="49" t="s">
        <v>33</v>
      </c>
      <c r="FQ23" s="49" t="s">
        <v>41</v>
      </c>
      <c r="FR23" s="49" t="s">
        <v>41</v>
      </c>
      <c r="FS23" s="49" t="s">
        <v>41</v>
      </c>
      <c r="FT23" s="49" t="s">
        <v>41</v>
      </c>
      <c r="FU23" s="49" t="s">
        <v>41</v>
      </c>
      <c r="FV23" s="49" t="s">
        <v>41</v>
      </c>
      <c r="FW23" s="49" t="s">
        <v>41</v>
      </c>
      <c r="FX23" s="49" t="s">
        <v>41</v>
      </c>
      <c r="FY23" s="49" t="s">
        <v>41</v>
      </c>
      <c r="FZ23" s="49" t="s">
        <v>41</v>
      </c>
      <c r="GA23" s="49" t="s">
        <v>41</v>
      </c>
      <c r="GB23" s="49" t="s">
        <v>41</v>
      </c>
      <c r="GC23" s="49" t="s">
        <v>41</v>
      </c>
      <c r="GD23" s="13" t="s">
        <v>41</v>
      </c>
      <c r="GE23" s="13" t="s">
        <v>41</v>
      </c>
      <c r="GF23" s="193" t="s">
        <v>843</v>
      </c>
      <c r="GG23" s="193" t="s">
        <v>843</v>
      </c>
      <c r="GH23" s="193" t="s">
        <v>843</v>
      </c>
      <c r="GI23" s="13" t="s">
        <v>33</v>
      </c>
      <c r="GJ23" s="13" t="s">
        <v>33</v>
      </c>
      <c r="GK23" s="13"/>
      <c r="GL23" s="13"/>
      <c r="GM23" s="13"/>
      <c r="GN23" s="13"/>
      <c r="GO23" s="13"/>
    </row>
    <row r="24" customFormat="false" ht="15.75" hidden="true" customHeight="false" outlineLevel="0" collapsed="false">
      <c r="A24" s="20" t="s">
        <v>185</v>
      </c>
      <c r="B24" s="184" t="s">
        <v>33</v>
      </c>
      <c r="C24" s="184" t="s">
        <v>33</v>
      </c>
      <c r="D24" s="184" t="s">
        <v>33</v>
      </c>
      <c r="E24" s="184" t="s">
        <v>33</v>
      </c>
      <c r="F24" s="184" t="s">
        <v>33</v>
      </c>
      <c r="G24" s="184" t="s">
        <v>33</v>
      </c>
      <c r="H24" s="184" t="s">
        <v>33</v>
      </c>
      <c r="I24" s="184" t="s">
        <v>33</v>
      </c>
      <c r="J24" s="184" t="s">
        <v>33</v>
      </c>
      <c r="K24" s="184" t="s">
        <v>33</v>
      </c>
      <c r="L24" s="184" t="s">
        <v>33</v>
      </c>
      <c r="M24" s="184" t="s">
        <v>33</v>
      </c>
      <c r="N24" s="184" t="s">
        <v>33</v>
      </c>
      <c r="O24" s="184" t="s">
        <v>33</v>
      </c>
      <c r="P24" s="184" t="s">
        <v>33</v>
      </c>
      <c r="Q24" s="184" t="s">
        <v>33</v>
      </c>
      <c r="R24" s="184" t="s">
        <v>33</v>
      </c>
      <c r="S24" s="184" t="s">
        <v>33</v>
      </c>
      <c r="T24" s="184" t="s">
        <v>33</v>
      </c>
      <c r="U24" s="184" t="s">
        <v>33</v>
      </c>
      <c r="V24" s="184" t="s">
        <v>33</v>
      </c>
      <c r="W24" s="184" t="s">
        <v>33</v>
      </c>
      <c r="X24" s="184" t="s">
        <v>33</v>
      </c>
      <c r="Y24" s="184" t="s">
        <v>33</v>
      </c>
      <c r="Z24" s="184" t="s">
        <v>33</v>
      </c>
      <c r="AA24" s="185" t="s">
        <v>37</v>
      </c>
      <c r="AB24" s="45" t="s">
        <v>37</v>
      </c>
      <c r="AC24" s="45" t="s">
        <v>37</v>
      </c>
      <c r="AD24" s="45" t="s">
        <v>37</v>
      </c>
      <c r="AE24" s="45" t="s">
        <v>37</v>
      </c>
      <c r="AF24" s="45" t="s">
        <v>37</v>
      </c>
      <c r="AG24" s="29" t="s">
        <v>41</v>
      </c>
      <c r="AH24" s="29" t="s">
        <v>41</v>
      </c>
      <c r="AI24" s="29" t="s">
        <v>41</v>
      </c>
      <c r="AJ24" s="29" t="s">
        <v>41</v>
      </c>
      <c r="AK24" s="29" t="s">
        <v>41</v>
      </c>
      <c r="AL24" s="29" t="s">
        <v>41</v>
      </c>
      <c r="AM24" s="29" t="s">
        <v>41</v>
      </c>
      <c r="AN24" s="29" t="s">
        <v>41</v>
      </c>
      <c r="AO24" s="29" t="s">
        <v>41</v>
      </c>
      <c r="AP24" s="29" t="s">
        <v>41</v>
      </c>
      <c r="AQ24" s="29" t="s">
        <v>41</v>
      </c>
      <c r="AR24" s="189" t="s">
        <v>41</v>
      </c>
      <c r="AS24" s="189" t="s">
        <v>41</v>
      </c>
      <c r="AT24" s="189" t="s">
        <v>41</v>
      </c>
      <c r="AU24" s="189" t="s">
        <v>41</v>
      </c>
      <c r="AV24" s="189" t="s">
        <v>41</v>
      </c>
      <c r="AW24" s="189" t="s">
        <v>41</v>
      </c>
      <c r="AX24" s="189" t="s">
        <v>41</v>
      </c>
      <c r="AY24" s="189" t="s">
        <v>41</v>
      </c>
      <c r="AZ24" s="189" t="s">
        <v>41</v>
      </c>
      <c r="BA24" s="189" t="s">
        <v>41</v>
      </c>
      <c r="BB24" s="189" t="s">
        <v>41</v>
      </c>
      <c r="BC24" s="189" t="s">
        <v>41</v>
      </c>
      <c r="BD24" s="189" t="s">
        <v>41</v>
      </c>
      <c r="BE24" s="189" t="s">
        <v>41</v>
      </c>
      <c r="BF24" s="189" t="s">
        <v>41</v>
      </c>
      <c r="BG24" s="189" t="s">
        <v>41</v>
      </c>
      <c r="BH24" s="189" t="s">
        <v>41</v>
      </c>
      <c r="BI24" s="189" t="s">
        <v>41</v>
      </c>
      <c r="BJ24" s="189" t="s">
        <v>41</v>
      </c>
      <c r="BK24" s="189" t="s">
        <v>41</v>
      </c>
      <c r="BL24" s="189" t="s">
        <v>41</v>
      </c>
      <c r="BM24" s="189" t="s">
        <v>41</v>
      </c>
      <c r="BN24" s="189" t="s">
        <v>41</v>
      </c>
      <c r="BO24" s="189" t="s">
        <v>41</v>
      </c>
      <c r="BP24" s="189" t="s">
        <v>41</v>
      </c>
      <c r="BQ24" s="189" t="s">
        <v>41</v>
      </c>
      <c r="BR24" s="189" t="s">
        <v>41</v>
      </c>
      <c r="BS24" s="189" t="s">
        <v>41</v>
      </c>
      <c r="BT24" s="189" t="s">
        <v>41</v>
      </c>
      <c r="BU24" s="189" t="s">
        <v>41</v>
      </c>
      <c r="BV24" s="189" t="s">
        <v>41</v>
      </c>
      <c r="BW24" s="189" t="s">
        <v>41</v>
      </c>
      <c r="BX24" s="189" t="s">
        <v>41</v>
      </c>
      <c r="BY24" s="189" t="s">
        <v>41</v>
      </c>
      <c r="BZ24" s="189" t="s">
        <v>41</v>
      </c>
      <c r="CA24" s="189" t="s">
        <v>41</v>
      </c>
      <c r="CB24" s="189" t="s">
        <v>41</v>
      </c>
      <c r="CC24" s="189" t="s">
        <v>41</v>
      </c>
      <c r="CD24" s="189" t="s">
        <v>41</v>
      </c>
      <c r="CE24" s="189" t="s">
        <v>41</v>
      </c>
      <c r="CF24" s="189" t="s">
        <v>41</v>
      </c>
      <c r="CG24" s="189" t="s">
        <v>41</v>
      </c>
      <c r="CH24" s="189" t="s">
        <v>41</v>
      </c>
      <c r="CI24" s="189" t="s">
        <v>41</v>
      </c>
      <c r="CJ24" s="189" t="s">
        <v>41</v>
      </c>
      <c r="CK24" s="189" t="s">
        <v>41</v>
      </c>
      <c r="CL24" s="189" t="s">
        <v>41</v>
      </c>
      <c r="CM24" s="189" t="s">
        <v>41</v>
      </c>
      <c r="CN24" s="189" t="s">
        <v>41</v>
      </c>
      <c r="CO24" s="189" t="s">
        <v>41</v>
      </c>
      <c r="CP24" s="185" t="s">
        <v>37</v>
      </c>
      <c r="CQ24" s="13" t="s">
        <v>37</v>
      </c>
      <c r="CR24" s="13" t="s">
        <v>37</v>
      </c>
      <c r="CS24" s="49" t="s">
        <v>37</v>
      </c>
      <c r="CT24" s="49" t="s">
        <v>37</v>
      </c>
      <c r="CU24" s="49" t="s">
        <v>37</v>
      </c>
      <c r="CV24" s="170" t="s">
        <v>37</v>
      </c>
      <c r="CW24" s="170" t="s">
        <v>37</v>
      </c>
      <c r="CX24" s="49" t="s">
        <v>37</v>
      </c>
      <c r="CY24" s="49" t="s">
        <v>41</v>
      </c>
      <c r="CZ24" s="49" t="s">
        <v>37</v>
      </c>
      <c r="DA24" s="49" t="s">
        <v>37</v>
      </c>
      <c r="DB24" s="49" t="s">
        <v>37</v>
      </c>
      <c r="DC24" s="49" t="s">
        <v>37</v>
      </c>
      <c r="DD24" s="49" t="s">
        <v>41</v>
      </c>
      <c r="DE24" s="49" t="s">
        <v>41</v>
      </c>
      <c r="DF24" s="49" t="s">
        <v>47</v>
      </c>
      <c r="DG24" s="49" t="s">
        <v>47</v>
      </c>
      <c r="DH24" s="170" t="s">
        <v>47</v>
      </c>
      <c r="DI24" s="49" t="s">
        <v>47</v>
      </c>
      <c r="DJ24" s="49" t="s">
        <v>47</v>
      </c>
      <c r="DK24" s="49" t="s">
        <v>47</v>
      </c>
      <c r="DL24" s="49" t="s">
        <v>47</v>
      </c>
      <c r="DM24" s="49" t="s">
        <v>47</v>
      </c>
      <c r="DN24" s="49" t="s">
        <v>47</v>
      </c>
      <c r="DO24" s="49" t="s">
        <v>47</v>
      </c>
      <c r="DP24" s="49" t="s">
        <v>47</v>
      </c>
      <c r="DQ24" s="49" t="s">
        <v>47</v>
      </c>
      <c r="DR24" s="49" t="s">
        <v>47</v>
      </c>
      <c r="DS24" s="49" t="s">
        <v>47</v>
      </c>
      <c r="DT24" s="49" t="s">
        <v>47</v>
      </c>
      <c r="DU24" s="49" t="s">
        <v>47</v>
      </c>
      <c r="DV24" s="49" t="s">
        <v>47</v>
      </c>
      <c r="DW24" s="49" t="s">
        <v>47</v>
      </c>
      <c r="DX24" s="49" t="s">
        <v>47</v>
      </c>
      <c r="DY24" s="49" t="s">
        <v>47</v>
      </c>
      <c r="DZ24" s="49" t="s">
        <v>47</v>
      </c>
      <c r="EA24" s="49" t="s">
        <v>47</v>
      </c>
      <c r="EB24" s="49" t="s">
        <v>47</v>
      </c>
      <c r="EC24" s="49" t="s">
        <v>47</v>
      </c>
      <c r="ED24" s="49" t="s">
        <v>47</v>
      </c>
      <c r="EE24" s="49" t="s">
        <v>47</v>
      </c>
      <c r="EF24" s="49" t="s">
        <v>47</v>
      </c>
      <c r="EG24" s="49" t="s">
        <v>47</v>
      </c>
      <c r="EH24" s="49" t="s">
        <v>47</v>
      </c>
      <c r="EI24" s="49" t="s">
        <v>47</v>
      </c>
      <c r="EJ24" s="49" t="s">
        <v>47</v>
      </c>
      <c r="EK24" s="49" t="s">
        <v>47</v>
      </c>
      <c r="EL24" s="49" t="s">
        <v>47</v>
      </c>
      <c r="EM24" s="49" t="s">
        <v>47</v>
      </c>
      <c r="EN24" s="49" t="s">
        <v>47</v>
      </c>
      <c r="EO24" s="49" t="s">
        <v>47</v>
      </c>
      <c r="EP24" s="49" t="s">
        <v>47</v>
      </c>
      <c r="EQ24" s="49" t="s">
        <v>47</v>
      </c>
      <c r="ER24" s="49" t="s">
        <v>47</v>
      </c>
      <c r="ES24" s="49" t="s">
        <v>47</v>
      </c>
      <c r="ET24" s="170" t="s">
        <v>47</v>
      </c>
      <c r="EU24" s="170" t="s">
        <v>47</v>
      </c>
      <c r="EV24" s="49" t="s">
        <v>47</v>
      </c>
      <c r="EW24" s="49" t="s">
        <v>47</v>
      </c>
      <c r="EX24" s="49" t="s">
        <v>47</v>
      </c>
      <c r="EY24" s="49" t="s">
        <v>47</v>
      </c>
      <c r="EZ24" s="49" t="s">
        <v>47</v>
      </c>
      <c r="FA24" s="49" t="s">
        <v>47</v>
      </c>
      <c r="FB24" s="49" t="s">
        <v>47</v>
      </c>
      <c r="FC24" s="49" t="s">
        <v>47</v>
      </c>
      <c r="FD24" s="49" t="s">
        <v>47</v>
      </c>
      <c r="FE24" s="49" t="s">
        <v>47</v>
      </c>
      <c r="FF24" s="49" t="s">
        <v>47</v>
      </c>
      <c r="FG24" s="49" t="s">
        <v>47</v>
      </c>
      <c r="FH24" s="49" t="s">
        <v>47</v>
      </c>
      <c r="FI24" s="49" t="s">
        <v>47</v>
      </c>
      <c r="FJ24" s="49" t="s">
        <v>47</v>
      </c>
      <c r="FK24" s="49" t="s">
        <v>47</v>
      </c>
      <c r="FL24" s="49" t="s">
        <v>47</v>
      </c>
      <c r="FM24" s="49" t="s">
        <v>47</v>
      </c>
      <c r="FN24" s="49" t="s">
        <v>47</v>
      </c>
      <c r="FO24" s="49" t="s">
        <v>47</v>
      </c>
      <c r="FP24" s="49" t="s">
        <v>33</v>
      </c>
      <c r="FQ24" s="49" t="s">
        <v>47</v>
      </c>
      <c r="FR24" s="49" t="s">
        <v>47</v>
      </c>
      <c r="FS24" s="49" t="s">
        <v>47</v>
      </c>
      <c r="FT24" s="49" t="s">
        <v>47</v>
      </c>
      <c r="FU24" s="49" t="s">
        <v>47</v>
      </c>
      <c r="FV24" s="49" t="s">
        <v>47</v>
      </c>
      <c r="FW24" s="13"/>
      <c r="FX24" s="13"/>
      <c r="FY24" s="13"/>
      <c r="FZ24" s="13"/>
      <c r="GA24" s="13"/>
      <c r="GB24" s="13"/>
      <c r="GC24" s="13"/>
      <c r="GD24" s="13"/>
      <c r="GE24" s="13"/>
      <c r="GF24" s="13"/>
      <c r="GG24" s="13"/>
      <c r="GH24" s="13"/>
      <c r="GI24" s="13"/>
      <c r="GJ24" s="13"/>
      <c r="GK24" s="13"/>
      <c r="GL24" s="13"/>
      <c r="GM24" s="13"/>
      <c r="GN24" s="13"/>
      <c r="GO24" s="13"/>
    </row>
    <row r="25" customFormat="false" ht="15.75" hidden="false" customHeight="false" outlineLevel="0" collapsed="false">
      <c r="A25" s="20" t="s">
        <v>188</v>
      </c>
      <c r="B25" s="184" t="s">
        <v>33</v>
      </c>
      <c r="C25" s="184" t="s">
        <v>33</v>
      </c>
      <c r="D25" s="184" t="s">
        <v>33</v>
      </c>
      <c r="E25" s="184" t="s">
        <v>33</v>
      </c>
      <c r="F25" s="184" t="s">
        <v>33</v>
      </c>
      <c r="G25" s="184" t="s">
        <v>33</v>
      </c>
      <c r="H25" s="184" t="s">
        <v>33</v>
      </c>
      <c r="I25" s="184" t="s">
        <v>33</v>
      </c>
      <c r="J25" s="184" t="s">
        <v>33</v>
      </c>
      <c r="K25" s="184" t="s">
        <v>33</v>
      </c>
      <c r="L25" s="184" t="s">
        <v>33</v>
      </c>
      <c r="M25" s="184" t="s">
        <v>33</v>
      </c>
      <c r="N25" s="184" t="s">
        <v>33</v>
      </c>
      <c r="O25" s="184" t="s">
        <v>33</v>
      </c>
      <c r="P25" s="45" t="s">
        <v>842</v>
      </c>
      <c r="Q25" s="184" t="s">
        <v>33</v>
      </c>
      <c r="R25" s="45" t="s">
        <v>37</v>
      </c>
      <c r="S25" s="184" t="s">
        <v>33</v>
      </c>
      <c r="T25" s="184" t="s">
        <v>33</v>
      </c>
      <c r="U25" s="184" t="s">
        <v>33</v>
      </c>
      <c r="V25" s="184" t="s">
        <v>33</v>
      </c>
      <c r="W25" s="184" t="s">
        <v>33</v>
      </c>
      <c r="X25" s="184" t="s">
        <v>33</v>
      </c>
      <c r="Y25" s="184" t="s">
        <v>33</v>
      </c>
      <c r="Z25" s="184" t="s">
        <v>33</v>
      </c>
      <c r="AA25" s="184" t="s">
        <v>33</v>
      </c>
      <c r="AB25" s="184" t="s">
        <v>33</v>
      </c>
      <c r="AC25" s="184" t="s">
        <v>33</v>
      </c>
      <c r="AD25" s="184" t="s">
        <v>33</v>
      </c>
      <c r="AE25" s="184" t="s">
        <v>33</v>
      </c>
      <c r="AF25" s="184" t="s">
        <v>33</v>
      </c>
      <c r="AG25" s="184" t="s">
        <v>33</v>
      </c>
      <c r="AH25" s="184" t="s">
        <v>33</v>
      </c>
      <c r="AI25" s="184" t="s">
        <v>33</v>
      </c>
      <c r="AJ25" s="184" t="s">
        <v>33</v>
      </c>
      <c r="AK25" s="184" t="s">
        <v>33</v>
      </c>
      <c r="AL25" s="184" t="s">
        <v>33</v>
      </c>
      <c r="AM25" s="184" t="s">
        <v>33</v>
      </c>
      <c r="AN25" s="184" t="s">
        <v>33</v>
      </c>
      <c r="AO25" s="184" t="s">
        <v>33</v>
      </c>
      <c r="AP25" s="184" t="s">
        <v>33</v>
      </c>
      <c r="AQ25" s="184" t="s">
        <v>33</v>
      </c>
      <c r="AR25" s="184" t="s">
        <v>33</v>
      </c>
      <c r="AS25" s="184" t="s">
        <v>33</v>
      </c>
      <c r="AT25" s="184" t="s">
        <v>33</v>
      </c>
      <c r="AU25" s="184" t="s">
        <v>33</v>
      </c>
      <c r="AV25" s="184" t="s">
        <v>33</v>
      </c>
      <c r="AW25" s="184" t="s">
        <v>33</v>
      </c>
      <c r="AX25" s="189" t="s">
        <v>41</v>
      </c>
      <c r="AY25" s="184" t="s">
        <v>33</v>
      </c>
      <c r="AZ25" s="184" t="s">
        <v>33</v>
      </c>
      <c r="BA25" s="184" t="s">
        <v>33</v>
      </c>
      <c r="BB25" s="184" t="s">
        <v>33</v>
      </c>
      <c r="BC25" s="184" t="s">
        <v>33</v>
      </c>
      <c r="BD25" s="184" t="s">
        <v>33</v>
      </c>
      <c r="BE25" s="184" t="s">
        <v>33</v>
      </c>
      <c r="BF25" s="184" t="s">
        <v>33</v>
      </c>
      <c r="BG25" s="184" t="s">
        <v>33</v>
      </c>
      <c r="BH25" s="184" t="s">
        <v>33</v>
      </c>
      <c r="BI25" s="184" t="s">
        <v>33</v>
      </c>
      <c r="BJ25" s="184" t="s">
        <v>33</v>
      </c>
      <c r="BK25" s="184" t="s">
        <v>33</v>
      </c>
      <c r="BL25" s="184" t="s">
        <v>33</v>
      </c>
      <c r="BM25" s="184" t="s">
        <v>33</v>
      </c>
      <c r="BN25" s="184" t="s">
        <v>33</v>
      </c>
      <c r="BO25" s="184" t="s">
        <v>33</v>
      </c>
      <c r="BP25" s="184" t="s">
        <v>33</v>
      </c>
      <c r="BQ25" s="184" t="s">
        <v>33</v>
      </c>
      <c r="BR25" s="184" t="s">
        <v>33</v>
      </c>
      <c r="BS25" s="184" t="s">
        <v>33</v>
      </c>
      <c r="BT25" s="184" t="s">
        <v>33</v>
      </c>
      <c r="BU25" s="184" t="s">
        <v>33</v>
      </c>
      <c r="BV25" s="184" t="s">
        <v>33</v>
      </c>
      <c r="BW25" s="184" t="s">
        <v>33</v>
      </c>
      <c r="BX25" s="184" t="s">
        <v>33</v>
      </c>
      <c r="BY25" s="184" t="s">
        <v>33</v>
      </c>
      <c r="BZ25" s="184" t="s">
        <v>33</v>
      </c>
      <c r="CA25" s="184" t="s">
        <v>33</v>
      </c>
      <c r="CB25" s="184" t="s">
        <v>33</v>
      </c>
      <c r="CC25" s="184" t="s">
        <v>33</v>
      </c>
      <c r="CD25" s="184" t="s">
        <v>33</v>
      </c>
      <c r="CE25" s="184" t="s">
        <v>33</v>
      </c>
      <c r="CF25" s="184" t="s">
        <v>33</v>
      </c>
      <c r="CG25" s="184" t="s">
        <v>33</v>
      </c>
      <c r="CH25" s="184" t="s">
        <v>33</v>
      </c>
      <c r="CI25" s="184" t="s">
        <v>33</v>
      </c>
      <c r="CJ25" s="184" t="s">
        <v>33</v>
      </c>
      <c r="CK25" s="184" t="s">
        <v>33</v>
      </c>
      <c r="CL25" s="184" t="s">
        <v>33</v>
      </c>
      <c r="CM25" s="191" t="s">
        <v>33</v>
      </c>
      <c r="CN25" s="191" t="s">
        <v>33</v>
      </c>
      <c r="CO25" s="191" t="s">
        <v>33</v>
      </c>
      <c r="CP25" s="13" t="s">
        <v>33</v>
      </c>
      <c r="CQ25" s="13" t="s">
        <v>33</v>
      </c>
      <c r="CR25" s="13" t="s">
        <v>33</v>
      </c>
      <c r="CS25" s="49" t="s">
        <v>33</v>
      </c>
      <c r="CT25" s="49" t="s">
        <v>33</v>
      </c>
      <c r="CU25" s="49" t="s">
        <v>33</v>
      </c>
      <c r="CV25" s="170" t="s">
        <v>33</v>
      </c>
      <c r="CW25" s="170" t="s">
        <v>33</v>
      </c>
      <c r="CX25" s="49" t="s">
        <v>33</v>
      </c>
      <c r="CY25" s="49" t="s">
        <v>33</v>
      </c>
      <c r="CZ25" s="49" t="s">
        <v>33</v>
      </c>
      <c r="DA25" s="49" t="s">
        <v>33</v>
      </c>
      <c r="DB25" s="49" t="s">
        <v>33</v>
      </c>
      <c r="DC25" s="49" t="s">
        <v>33</v>
      </c>
      <c r="DD25" s="49" t="s">
        <v>33</v>
      </c>
      <c r="DE25" s="49" t="s">
        <v>33</v>
      </c>
      <c r="DF25" s="49" t="s">
        <v>33</v>
      </c>
      <c r="DG25" s="49" t="s">
        <v>33</v>
      </c>
      <c r="DH25" s="49" t="s">
        <v>33</v>
      </c>
      <c r="DI25" s="49" t="s">
        <v>33</v>
      </c>
      <c r="DJ25" s="49" t="s">
        <v>33</v>
      </c>
      <c r="DK25" s="49" t="s">
        <v>33</v>
      </c>
      <c r="DL25" s="49" t="s">
        <v>33</v>
      </c>
      <c r="DM25" s="49" t="s">
        <v>33</v>
      </c>
      <c r="DN25" s="49" t="s">
        <v>33</v>
      </c>
      <c r="DO25" s="49" t="s">
        <v>33</v>
      </c>
      <c r="DP25" s="49" t="s">
        <v>33</v>
      </c>
      <c r="DQ25" s="49" t="s">
        <v>33</v>
      </c>
      <c r="DR25" s="49" t="s">
        <v>33</v>
      </c>
      <c r="DS25" s="49" t="s">
        <v>33</v>
      </c>
      <c r="DT25" s="49" t="s">
        <v>33</v>
      </c>
      <c r="DU25" s="49" t="s">
        <v>33</v>
      </c>
      <c r="DV25" s="49" t="s">
        <v>33</v>
      </c>
      <c r="DW25" s="170" t="s">
        <v>33</v>
      </c>
      <c r="DX25" s="49" t="s">
        <v>33</v>
      </c>
      <c r="DY25" s="49" t="s">
        <v>33</v>
      </c>
      <c r="DZ25" s="49" t="s">
        <v>33</v>
      </c>
      <c r="EA25" s="49" t="s">
        <v>33</v>
      </c>
      <c r="EB25" s="49" t="s">
        <v>33</v>
      </c>
      <c r="EC25" s="49" t="s">
        <v>33</v>
      </c>
      <c r="ED25" s="49" t="s">
        <v>33</v>
      </c>
      <c r="EE25" s="49" t="s">
        <v>33</v>
      </c>
      <c r="EF25" s="49" t="s">
        <v>33</v>
      </c>
      <c r="EG25" s="49" t="s">
        <v>33</v>
      </c>
      <c r="EH25" s="49" t="s">
        <v>33</v>
      </c>
      <c r="EI25" s="49" t="s">
        <v>33</v>
      </c>
      <c r="EJ25" s="49" t="s">
        <v>33</v>
      </c>
      <c r="EK25" s="49" t="s">
        <v>33</v>
      </c>
      <c r="EL25" s="49" t="s">
        <v>33</v>
      </c>
      <c r="EM25" s="49" t="s">
        <v>33</v>
      </c>
      <c r="EN25" s="49" t="s">
        <v>33</v>
      </c>
      <c r="EO25" s="49" t="s">
        <v>33</v>
      </c>
      <c r="EP25" s="49" t="s">
        <v>33</v>
      </c>
      <c r="EQ25" s="49" t="s">
        <v>33</v>
      </c>
      <c r="ER25" s="49" t="s">
        <v>33</v>
      </c>
      <c r="ES25" s="49" t="s">
        <v>33</v>
      </c>
      <c r="ET25" s="49" t="s">
        <v>33</v>
      </c>
      <c r="EU25" s="170" t="s">
        <v>33</v>
      </c>
      <c r="EV25" s="49" t="s">
        <v>33</v>
      </c>
      <c r="EW25" s="49" t="s">
        <v>41</v>
      </c>
      <c r="EX25" s="49" t="s">
        <v>33</v>
      </c>
      <c r="EY25" s="49" t="s">
        <v>33</v>
      </c>
      <c r="EZ25" s="49" t="s">
        <v>33</v>
      </c>
      <c r="FA25" s="49" t="s">
        <v>33</v>
      </c>
      <c r="FB25" s="49" t="s">
        <v>33</v>
      </c>
      <c r="FC25" s="49" t="s">
        <v>33</v>
      </c>
      <c r="FD25" s="49" t="s">
        <v>33</v>
      </c>
      <c r="FE25" s="13" t="s">
        <v>33</v>
      </c>
      <c r="FF25" s="13" t="s">
        <v>33</v>
      </c>
      <c r="FG25" s="13" t="s">
        <v>33</v>
      </c>
      <c r="FH25" s="13" t="s">
        <v>33</v>
      </c>
      <c r="FI25" s="13" t="s">
        <v>33</v>
      </c>
      <c r="FJ25" s="13" t="s">
        <v>33</v>
      </c>
      <c r="FK25" s="13" t="s">
        <v>33</v>
      </c>
      <c r="FL25" s="13" t="s">
        <v>33</v>
      </c>
      <c r="FM25" s="13" t="s">
        <v>33</v>
      </c>
      <c r="FN25" s="13" t="s">
        <v>33</v>
      </c>
      <c r="FO25" s="13" t="s">
        <v>33</v>
      </c>
      <c r="FP25" s="49" t="s">
        <v>33</v>
      </c>
      <c r="FQ25" s="49" t="s">
        <v>33</v>
      </c>
      <c r="FR25" s="49" t="s">
        <v>33</v>
      </c>
      <c r="FS25" s="49" t="s">
        <v>33</v>
      </c>
      <c r="FT25" s="49" t="s">
        <v>33</v>
      </c>
      <c r="FU25" s="49" t="s">
        <v>33</v>
      </c>
      <c r="FV25" s="49" t="s">
        <v>33</v>
      </c>
      <c r="FW25" s="49" t="s">
        <v>33</v>
      </c>
      <c r="FX25" s="49" t="s">
        <v>33</v>
      </c>
      <c r="FY25" s="49" t="s">
        <v>33</v>
      </c>
      <c r="FZ25" s="49" t="s">
        <v>33</v>
      </c>
      <c r="GA25" s="49" t="s">
        <v>33</v>
      </c>
      <c r="GB25" s="49" t="s">
        <v>33</v>
      </c>
      <c r="GC25" s="49" t="s">
        <v>33</v>
      </c>
      <c r="GD25" s="13" t="s">
        <v>33</v>
      </c>
      <c r="GE25" s="13" t="s">
        <v>33</v>
      </c>
      <c r="GF25" s="193" t="s">
        <v>843</v>
      </c>
      <c r="GG25" s="193" t="s">
        <v>843</v>
      </c>
      <c r="GH25" s="193" t="s">
        <v>843</v>
      </c>
      <c r="GI25" s="13" t="s">
        <v>33</v>
      </c>
      <c r="GJ25" s="13" t="s">
        <v>33</v>
      </c>
      <c r="GK25" s="13"/>
      <c r="GL25" s="13"/>
      <c r="GM25" s="13"/>
      <c r="GN25" s="13"/>
      <c r="GO25" s="13"/>
    </row>
    <row r="26" s="61" customFormat="true" ht="15.75" hidden="false" customHeight="false" outlineLevel="0" collapsed="false">
      <c r="A26" s="33" t="s">
        <v>191</v>
      </c>
      <c r="B26" s="179" t="s">
        <v>41</v>
      </c>
      <c r="C26" s="180" t="s">
        <v>33</v>
      </c>
      <c r="D26" s="180" t="s">
        <v>33</v>
      </c>
      <c r="E26" s="180" t="s">
        <v>33</v>
      </c>
      <c r="F26" s="180" t="s">
        <v>33</v>
      </c>
      <c r="G26" s="180" t="s">
        <v>33</v>
      </c>
      <c r="H26" s="180" t="s">
        <v>33</v>
      </c>
      <c r="I26" s="180" t="s">
        <v>33</v>
      </c>
      <c r="J26" s="180" t="s">
        <v>33</v>
      </c>
      <c r="K26" s="180" t="s">
        <v>33</v>
      </c>
      <c r="L26" s="179" t="s">
        <v>41</v>
      </c>
      <c r="M26" s="179" t="s">
        <v>41</v>
      </c>
      <c r="N26" s="179" t="s">
        <v>41</v>
      </c>
      <c r="O26" s="179" t="s">
        <v>841</v>
      </c>
      <c r="P26" s="179" t="s">
        <v>841</v>
      </c>
      <c r="Q26" s="198" t="s">
        <v>37</v>
      </c>
      <c r="R26" s="179" t="s">
        <v>41</v>
      </c>
      <c r="S26" s="180" t="s">
        <v>33</v>
      </c>
      <c r="T26" s="198" t="s">
        <v>37</v>
      </c>
      <c r="U26" s="180" t="s">
        <v>33</v>
      </c>
      <c r="V26" s="180" t="s">
        <v>33</v>
      </c>
      <c r="W26" s="180" t="s">
        <v>33</v>
      </c>
      <c r="X26" s="180" t="s">
        <v>33</v>
      </c>
      <c r="Y26" s="180" t="s">
        <v>33</v>
      </c>
      <c r="Z26" s="180" t="s">
        <v>33</v>
      </c>
      <c r="AA26" s="180" t="s">
        <v>33</v>
      </c>
      <c r="AB26" s="180" t="s">
        <v>33</v>
      </c>
      <c r="AC26" s="180" t="s">
        <v>33</v>
      </c>
      <c r="AD26" s="180" t="s">
        <v>33</v>
      </c>
      <c r="AE26" s="180" t="s">
        <v>33</v>
      </c>
      <c r="AF26" s="180" t="s">
        <v>33</v>
      </c>
      <c r="AG26" s="180" t="s">
        <v>33</v>
      </c>
      <c r="AH26" s="180" t="s">
        <v>33</v>
      </c>
      <c r="AI26" s="180" t="s">
        <v>33</v>
      </c>
      <c r="AJ26" s="180" t="s">
        <v>33</v>
      </c>
      <c r="AK26" s="179" t="s">
        <v>41</v>
      </c>
      <c r="AL26" s="180" t="s">
        <v>33</v>
      </c>
      <c r="AM26" s="180" t="s">
        <v>33</v>
      </c>
      <c r="AN26" s="180" t="s">
        <v>33</v>
      </c>
      <c r="AO26" s="180" t="s">
        <v>33</v>
      </c>
      <c r="AP26" s="179" t="s">
        <v>41</v>
      </c>
      <c r="AQ26" s="179" t="s">
        <v>41</v>
      </c>
      <c r="AR26" s="179" t="s">
        <v>41</v>
      </c>
      <c r="AS26" s="179" t="s">
        <v>41</v>
      </c>
      <c r="AT26" s="179" t="s">
        <v>41</v>
      </c>
      <c r="AU26" s="210" t="s">
        <v>41</v>
      </c>
      <c r="AV26" s="210" t="s">
        <v>41</v>
      </c>
      <c r="AW26" s="180" t="s">
        <v>33</v>
      </c>
      <c r="AX26" s="210" t="s">
        <v>41</v>
      </c>
      <c r="AY26" s="180" t="s">
        <v>33</v>
      </c>
      <c r="AZ26" s="180" t="s">
        <v>33</v>
      </c>
      <c r="BA26" s="180" t="s">
        <v>33</v>
      </c>
      <c r="BB26" s="180" t="s">
        <v>33</v>
      </c>
      <c r="BC26" s="210" t="s">
        <v>41</v>
      </c>
      <c r="BD26" s="180" t="s">
        <v>33</v>
      </c>
      <c r="BE26" s="180" t="s">
        <v>33</v>
      </c>
      <c r="BF26" s="180" t="s">
        <v>33</v>
      </c>
      <c r="BG26" s="180" t="s">
        <v>33</v>
      </c>
      <c r="BH26" s="180" t="s">
        <v>33</v>
      </c>
      <c r="BI26" s="180" t="s">
        <v>33</v>
      </c>
      <c r="BJ26" s="180" t="s">
        <v>33</v>
      </c>
      <c r="BK26" s="180" t="s">
        <v>33</v>
      </c>
      <c r="BL26" s="210" t="s">
        <v>41</v>
      </c>
      <c r="BM26" s="180" t="s">
        <v>33</v>
      </c>
      <c r="BN26" s="180" t="s">
        <v>33</v>
      </c>
      <c r="BO26" s="210" t="s">
        <v>41</v>
      </c>
      <c r="BP26" s="180" t="s">
        <v>33</v>
      </c>
      <c r="BQ26" s="180" t="s">
        <v>33</v>
      </c>
      <c r="BR26" s="210" t="s">
        <v>41</v>
      </c>
      <c r="BS26" s="210" t="s">
        <v>41</v>
      </c>
      <c r="BT26" s="210" t="s">
        <v>41</v>
      </c>
      <c r="BU26" s="210" t="s">
        <v>41</v>
      </c>
      <c r="BV26" s="180" t="s">
        <v>33</v>
      </c>
      <c r="BW26" s="180" t="s">
        <v>33</v>
      </c>
      <c r="BX26" s="180" t="s">
        <v>33</v>
      </c>
      <c r="BY26" s="180" t="s">
        <v>33</v>
      </c>
      <c r="BZ26" s="180" t="s">
        <v>33</v>
      </c>
      <c r="CA26" s="180" t="s">
        <v>33</v>
      </c>
      <c r="CB26" s="180" t="s">
        <v>33</v>
      </c>
      <c r="CC26" s="180" t="s">
        <v>33</v>
      </c>
      <c r="CD26" s="180" t="s">
        <v>33</v>
      </c>
      <c r="CE26" s="180" t="s">
        <v>33</v>
      </c>
      <c r="CF26" s="180" t="s">
        <v>33</v>
      </c>
      <c r="CG26" s="180" t="s">
        <v>33</v>
      </c>
      <c r="CH26" s="180" t="s">
        <v>33</v>
      </c>
      <c r="CI26" s="180" t="s">
        <v>33</v>
      </c>
      <c r="CJ26" s="180" t="s">
        <v>33</v>
      </c>
      <c r="CK26" s="180" t="s">
        <v>33</v>
      </c>
      <c r="CL26" s="180" t="s">
        <v>33</v>
      </c>
      <c r="CM26" s="210" t="s">
        <v>41</v>
      </c>
      <c r="CN26" s="214" t="s">
        <v>33</v>
      </c>
      <c r="CO26" s="214" t="s">
        <v>33</v>
      </c>
      <c r="CP26" s="158" t="s">
        <v>33</v>
      </c>
      <c r="CQ26" s="158" t="s">
        <v>33</v>
      </c>
      <c r="CR26" s="158" t="s">
        <v>33</v>
      </c>
      <c r="CS26" s="158" t="s">
        <v>33</v>
      </c>
      <c r="CT26" s="158" t="s">
        <v>33</v>
      </c>
      <c r="CU26" s="158" t="s">
        <v>33</v>
      </c>
      <c r="CV26" s="215" t="s">
        <v>33</v>
      </c>
      <c r="CW26" s="215" t="s">
        <v>33</v>
      </c>
      <c r="CX26" s="158" t="s">
        <v>33</v>
      </c>
      <c r="CY26" s="158" t="s">
        <v>33</v>
      </c>
      <c r="CZ26" s="158" t="s">
        <v>33</v>
      </c>
      <c r="DA26" s="158" t="s">
        <v>33</v>
      </c>
      <c r="DB26" s="158" t="s">
        <v>33</v>
      </c>
      <c r="DC26" s="158" t="s">
        <v>33</v>
      </c>
      <c r="DD26" s="158" t="s">
        <v>41</v>
      </c>
      <c r="DE26" s="158" t="s">
        <v>41</v>
      </c>
      <c r="DF26" s="158" t="s">
        <v>41</v>
      </c>
      <c r="DG26" s="158" t="s">
        <v>33</v>
      </c>
      <c r="DH26" s="158" t="s">
        <v>33</v>
      </c>
      <c r="DI26" s="158" t="s">
        <v>33</v>
      </c>
      <c r="DJ26" s="158" t="s">
        <v>33</v>
      </c>
      <c r="DK26" s="158" t="s">
        <v>33</v>
      </c>
      <c r="DL26" s="158" t="s">
        <v>33</v>
      </c>
      <c r="DM26" s="158" t="s">
        <v>33</v>
      </c>
      <c r="DN26" s="158" t="s">
        <v>33</v>
      </c>
      <c r="DO26" s="158" t="s">
        <v>41</v>
      </c>
      <c r="DP26" s="158" t="s">
        <v>33</v>
      </c>
      <c r="DQ26" s="158" t="s">
        <v>33</v>
      </c>
      <c r="DR26" s="158" t="s">
        <v>33</v>
      </c>
      <c r="DS26" s="158" t="s">
        <v>41</v>
      </c>
      <c r="DT26" s="158" t="s">
        <v>33</v>
      </c>
      <c r="DU26" s="158" t="s">
        <v>33</v>
      </c>
      <c r="DV26" s="158" t="s">
        <v>33</v>
      </c>
      <c r="DW26" s="215" t="s">
        <v>33</v>
      </c>
      <c r="DX26" s="158" t="s">
        <v>33</v>
      </c>
      <c r="DY26" s="158" t="s">
        <v>41</v>
      </c>
      <c r="DZ26" s="158" t="s">
        <v>33</v>
      </c>
      <c r="EA26" s="158" t="s">
        <v>33</v>
      </c>
      <c r="EB26" s="158" t="s">
        <v>41</v>
      </c>
      <c r="EC26" s="158" t="s">
        <v>33</v>
      </c>
      <c r="ED26" s="158" t="s">
        <v>33</v>
      </c>
      <c r="EE26" s="158" t="s">
        <v>33</v>
      </c>
      <c r="EF26" s="158" t="s">
        <v>33</v>
      </c>
      <c r="EG26" s="158" t="s">
        <v>33</v>
      </c>
      <c r="EH26" s="158" t="s">
        <v>33</v>
      </c>
      <c r="EI26" s="158" t="s">
        <v>41</v>
      </c>
      <c r="EJ26" s="158" t="s">
        <v>41</v>
      </c>
      <c r="EK26" s="158" t="s">
        <v>41</v>
      </c>
      <c r="EL26" s="158" t="s">
        <v>41</v>
      </c>
      <c r="EM26" s="158" t="s">
        <v>41</v>
      </c>
      <c r="EN26" s="158" t="s">
        <v>41</v>
      </c>
      <c r="EO26" s="158" t="s">
        <v>41</v>
      </c>
      <c r="EP26" s="158" t="s">
        <v>41</v>
      </c>
      <c r="EQ26" s="158" t="s">
        <v>41</v>
      </c>
      <c r="ER26" s="158" t="s">
        <v>41</v>
      </c>
      <c r="ES26" s="158" t="s">
        <v>41</v>
      </c>
      <c r="ET26" s="158" t="s">
        <v>41</v>
      </c>
      <c r="EU26" s="215" t="s">
        <v>41</v>
      </c>
      <c r="EV26" s="158" t="s">
        <v>41</v>
      </c>
      <c r="EW26" s="158" t="s">
        <v>41</v>
      </c>
      <c r="EX26" s="158" t="s">
        <v>41</v>
      </c>
      <c r="EY26" s="158" t="s">
        <v>41</v>
      </c>
      <c r="EZ26" s="158" t="s">
        <v>41</v>
      </c>
      <c r="FA26" s="158" t="s">
        <v>41</v>
      </c>
      <c r="FB26" s="158" t="s">
        <v>41</v>
      </c>
      <c r="FC26" s="158" t="s">
        <v>41</v>
      </c>
      <c r="FD26" s="158" t="s">
        <v>41</v>
      </c>
      <c r="FE26" s="158" t="s">
        <v>41</v>
      </c>
      <c r="FF26" s="158" t="s">
        <v>41</v>
      </c>
      <c r="FG26" s="158" t="s">
        <v>41</v>
      </c>
      <c r="FH26" s="158" t="s">
        <v>41</v>
      </c>
      <c r="FI26" s="158" t="s">
        <v>41</v>
      </c>
      <c r="FJ26" s="158" t="s">
        <v>41</v>
      </c>
      <c r="FK26" s="158" t="s">
        <v>41</v>
      </c>
      <c r="FL26" s="158" t="s">
        <v>41</v>
      </c>
      <c r="FM26" s="158" t="s">
        <v>41</v>
      </c>
      <c r="FN26" s="158" t="s">
        <v>41</v>
      </c>
      <c r="FO26" s="158" t="s">
        <v>41</v>
      </c>
      <c r="FP26" s="158" t="s">
        <v>41</v>
      </c>
      <c r="FQ26" s="158" t="s">
        <v>41</v>
      </c>
      <c r="FR26" s="158" t="s">
        <v>41</v>
      </c>
      <c r="FS26" s="158" t="s">
        <v>41</v>
      </c>
      <c r="FT26" s="158" t="s">
        <v>41</v>
      </c>
      <c r="FU26" s="158" t="s">
        <v>41</v>
      </c>
      <c r="FV26" s="158" t="s">
        <v>41</v>
      </c>
      <c r="FW26" s="158" t="s">
        <v>41</v>
      </c>
      <c r="FX26" s="158" t="s">
        <v>41</v>
      </c>
      <c r="FY26" s="158" t="s">
        <v>41</v>
      </c>
      <c r="FZ26" s="158" t="s">
        <v>41</v>
      </c>
      <c r="GA26" s="158" t="s">
        <v>41</v>
      </c>
      <c r="GB26" s="158" t="s">
        <v>41</v>
      </c>
      <c r="GC26" s="216"/>
      <c r="GD26" s="216"/>
      <c r="GE26" s="216"/>
      <c r="GF26" s="216"/>
      <c r="GG26" s="216"/>
      <c r="GH26" s="216"/>
      <c r="GI26" s="216"/>
      <c r="GJ26" s="216"/>
      <c r="GK26" s="158"/>
      <c r="GL26" s="158"/>
      <c r="GM26" s="158"/>
      <c r="GN26" s="158"/>
      <c r="GO26" s="158"/>
    </row>
    <row r="27" customFormat="false" ht="15.75" hidden="false" customHeight="false" outlineLevel="0" collapsed="false">
      <c r="A27" s="20" t="s">
        <v>195</v>
      </c>
      <c r="B27" s="184" t="s">
        <v>33</v>
      </c>
      <c r="C27" s="184" t="s">
        <v>33</v>
      </c>
      <c r="D27" s="184" t="s">
        <v>33</v>
      </c>
      <c r="E27" s="184" t="s">
        <v>33</v>
      </c>
      <c r="F27" s="184" t="s">
        <v>33</v>
      </c>
      <c r="G27" s="184" t="s">
        <v>33</v>
      </c>
      <c r="H27" s="184" t="s">
        <v>33</v>
      </c>
      <c r="I27" s="184" t="s">
        <v>33</v>
      </c>
      <c r="J27" s="184" t="s">
        <v>33</v>
      </c>
      <c r="K27" s="184" t="s">
        <v>33</v>
      </c>
      <c r="L27" s="184" t="s">
        <v>33</v>
      </c>
      <c r="M27" s="184" t="s">
        <v>33</v>
      </c>
      <c r="N27" s="184" t="s">
        <v>33</v>
      </c>
      <c r="O27" s="184" t="s">
        <v>33</v>
      </c>
      <c r="P27" s="184" t="s">
        <v>33</v>
      </c>
      <c r="Q27" s="184" t="s">
        <v>33</v>
      </c>
      <c r="R27" s="184" t="s">
        <v>33</v>
      </c>
      <c r="S27" s="184" t="s">
        <v>33</v>
      </c>
      <c r="T27" s="184" t="s">
        <v>33</v>
      </c>
      <c r="U27" s="184" t="s">
        <v>33</v>
      </c>
      <c r="V27" s="29" t="s">
        <v>41</v>
      </c>
      <c r="W27" s="29" t="s">
        <v>41</v>
      </c>
      <c r="X27" s="29" t="s">
        <v>41</v>
      </c>
      <c r="Y27" s="29" t="s">
        <v>41</v>
      </c>
      <c r="Z27" s="217" t="s">
        <v>41</v>
      </c>
      <c r="AA27" s="184" t="s">
        <v>33</v>
      </c>
      <c r="AB27" s="184" t="s">
        <v>33</v>
      </c>
      <c r="AC27" s="184" t="s">
        <v>33</v>
      </c>
      <c r="AD27" s="184" t="s">
        <v>33</v>
      </c>
      <c r="AE27" s="184" t="s">
        <v>33</v>
      </c>
      <c r="AF27" s="184" t="s">
        <v>33</v>
      </c>
      <c r="AG27" s="184" t="s">
        <v>33</v>
      </c>
      <c r="AH27" s="184" t="s">
        <v>33</v>
      </c>
      <c r="AI27" s="184" t="s">
        <v>33</v>
      </c>
      <c r="AJ27" s="184" t="s">
        <v>33</v>
      </c>
      <c r="AK27" s="184" t="s">
        <v>33</v>
      </c>
      <c r="AL27" s="184" t="s">
        <v>33</v>
      </c>
      <c r="AM27" s="184" t="s">
        <v>33</v>
      </c>
      <c r="AN27" s="184" t="s">
        <v>33</v>
      </c>
      <c r="AO27" s="184" t="s">
        <v>33</v>
      </c>
      <c r="AP27" s="184" t="s">
        <v>33</v>
      </c>
      <c r="AQ27" s="184" t="s">
        <v>33</v>
      </c>
      <c r="AR27" s="184" t="s">
        <v>33</v>
      </c>
      <c r="AS27" s="184" t="s">
        <v>33</v>
      </c>
      <c r="AT27" s="184" t="s">
        <v>33</v>
      </c>
      <c r="AU27" s="184" t="s">
        <v>33</v>
      </c>
      <c r="AV27" s="184" t="s">
        <v>33</v>
      </c>
      <c r="AW27" s="184" t="s">
        <v>33</v>
      </c>
      <c r="AX27" s="184" t="s">
        <v>33</v>
      </c>
      <c r="AY27" s="184" t="s">
        <v>33</v>
      </c>
      <c r="AZ27" s="184" t="s">
        <v>33</v>
      </c>
      <c r="BA27" s="184" t="s">
        <v>33</v>
      </c>
      <c r="BB27" s="184" t="s">
        <v>33</v>
      </c>
      <c r="BC27" s="184" t="s">
        <v>33</v>
      </c>
      <c r="BD27" s="184" t="s">
        <v>33</v>
      </c>
      <c r="BE27" s="184" t="s">
        <v>33</v>
      </c>
      <c r="BF27" s="184" t="s">
        <v>33</v>
      </c>
      <c r="BG27" s="189" t="s">
        <v>41</v>
      </c>
      <c r="BH27" s="184" t="s">
        <v>33</v>
      </c>
      <c r="BI27" s="184" t="s">
        <v>33</v>
      </c>
      <c r="BJ27" s="184" t="s">
        <v>33</v>
      </c>
      <c r="BK27" s="184" t="s">
        <v>33</v>
      </c>
      <c r="BL27" s="184" t="s">
        <v>33</v>
      </c>
      <c r="BM27" s="184" t="s">
        <v>33</v>
      </c>
      <c r="BN27" s="184" t="s">
        <v>33</v>
      </c>
      <c r="BO27" s="184" t="s">
        <v>33</v>
      </c>
      <c r="BP27" s="184" t="s">
        <v>33</v>
      </c>
      <c r="BQ27" s="184" t="s">
        <v>33</v>
      </c>
      <c r="BR27" s="184" t="s">
        <v>33</v>
      </c>
      <c r="BS27" s="184" t="s">
        <v>33</v>
      </c>
      <c r="BT27" s="184" t="s">
        <v>33</v>
      </c>
      <c r="BU27" s="184" t="s">
        <v>33</v>
      </c>
      <c r="BV27" s="184" t="s">
        <v>33</v>
      </c>
      <c r="BW27" s="184" t="s">
        <v>33</v>
      </c>
      <c r="BX27" s="184" t="s">
        <v>33</v>
      </c>
      <c r="BY27" s="184" t="s">
        <v>33</v>
      </c>
      <c r="BZ27" s="184" t="s">
        <v>33</v>
      </c>
      <c r="CA27" s="184" t="s">
        <v>33</v>
      </c>
      <c r="CB27" s="184" t="s">
        <v>33</v>
      </c>
      <c r="CC27" s="184" t="s">
        <v>33</v>
      </c>
      <c r="CD27" s="184" t="s">
        <v>33</v>
      </c>
      <c r="CE27" s="184" t="s">
        <v>33</v>
      </c>
      <c r="CF27" s="184" t="s">
        <v>33</v>
      </c>
      <c r="CG27" s="184" t="s">
        <v>33</v>
      </c>
      <c r="CH27" s="184" t="s">
        <v>33</v>
      </c>
      <c r="CI27" s="184" t="s">
        <v>33</v>
      </c>
      <c r="CJ27" s="184" t="s">
        <v>33</v>
      </c>
      <c r="CK27" s="184" t="s">
        <v>33</v>
      </c>
      <c r="CL27" s="184" t="s">
        <v>33</v>
      </c>
      <c r="CM27" s="191" t="s">
        <v>33</v>
      </c>
      <c r="CN27" s="191" t="s">
        <v>33</v>
      </c>
      <c r="CO27" s="191" t="s">
        <v>33</v>
      </c>
      <c r="CP27" s="13" t="s">
        <v>33</v>
      </c>
      <c r="CQ27" s="13" t="s">
        <v>33</v>
      </c>
      <c r="CR27" s="13" t="s">
        <v>33</v>
      </c>
      <c r="CS27" s="49" t="s">
        <v>33</v>
      </c>
      <c r="CT27" s="49" t="s">
        <v>33</v>
      </c>
      <c r="CU27" s="49" t="s">
        <v>33</v>
      </c>
      <c r="CV27" s="170" t="s">
        <v>33</v>
      </c>
      <c r="CW27" s="170" t="s">
        <v>33</v>
      </c>
      <c r="CX27" s="49" t="s">
        <v>33</v>
      </c>
      <c r="CY27" s="49" t="s">
        <v>33</v>
      </c>
      <c r="CZ27" s="49" t="s">
        <v>33</v>
      </c>
      <c r="DA27" s="49" t="s">
        <v>33</v>
      </c>
      <c r="DB27" s="49" t="s">
        <v>33</v>
      </c>
      <c r="DC27" s="49" t="s">
        <v>33</v>
      </c>
      <c r="DD27" s="49" t="s">
        <v>33</v>
      </c>
      <c r="DE27" s="49" t="s">
        <v>33</v>
      </c>
      <c r="DF27" s="49" t="s">
        <v>33</v>
      </c>
      <c r="DG27" s="49" t="s">
        <v>33</v>
      </c>
      <c r="DH27" s="49" t="s">
        <v>33</v>
      </c>
      <c r="DI27" s="49" t="s">
        <v>33</v>
      </c>
      <c r="DJ27" s="49" t="s">
        <v>33</v>
      </c>
      <c r="DK27" s="49" t="s">
        <v>33</v>
      </c>
      <c r="DL27" s="49" t="s">
        <v>33</v>
      </c>
      <c r="DM27" s="49" t="s">
        <v>33</v>
      </c>
      <c r="DN27" s="49" t="s">
        <v>33</v>
      </c>
      <c r="DO27" s="49" t="s">
        <v>33</v>
      </c>
      <c r="DP27" s="49" t="s">
        <v>33</v>
      </c>
      <c r="DQ27" s="49" t="s">
        <v>33</v>
      </c>
      <c r="DR27" s="49" t="s">
        <v>33</v>
      </c>
      <c r="DS27" s="49" t="s">
        <v>33</v>
      </c>
      <c r="DT27" s="49" t="s">
        <v>33</v>
      </c>
      <c r="DU27" s="49" t="s">
        <v>33</v>
      </c>
      <c r="DV27" s="49" t="s">
        <v>33</v>
      </c>
      <c r="DW27" s="170" t="s">
        <v>41</v>
      </c>
      <c r="DX27" s="49" t="s">
        <v>41</v>
      </c>
      <c r="DY27" s="49" t="s">
        <v>41</v>
      </c>
      <c r="DZ27" s="49" t="s">
        <v>41</v>
      </c>
      <c r="EA27" s="49" t="s">
        <v>33</v>
      </c>
      <c r="EB27" s="49" t="s">
        <v>33</v>
      </c>
      <c r="EC27" s="218"/>
      <c r="ED27" s="218"/>
      <c r="EE27" s="218"/>
      <c r="EF27" s="67"/>
      <c r="EG27" s="67"/>
      <c r="EH27" s="67"/>
      <c r="EI27" s="67"/>
      <c r="EJ27" s="49" t="s">
        <v>37</v>
      </c>
      <c r="EK27" s="49" t="s">
        <v>33</v>
      </c>
      <c r="EL27" s="49" t="s">
        <v>33</v>
      </c>
      <c r="EM27" s="49" t="s">
        <v>33</v>
      </c>
      <c r="EN27" s="49" t="s">
        <v>33</v>
      </c>
      <c r="EO27" s="49" t="s">
        <v>33</v>
      </c>
      <c r="EP27" s="49" t="s">
        <v>33</v>
      </c>
      <c r="EQ27" s="49" t="s">
        <v>33</v>
      </c>
      <c r="ER27" s="49" t="s">
        <v>33</v>
      </c>
      <c r="ES27" s="49" t="s">
        <v>33</v>
      </c>
      <c r="ET27" s="49" t="s">
        <v>33</v>
      </c>
      <c r="EU27" s="170" t="s">
        <v>33</v>
      </c>
      <c r="EV27" s="49" t="s">
        <v>33</v>
      </c>
      <c r="EW27" s="49" t="s">
        <v>33</v>
      </c>
      <c r="EX27" s="49" t="s">
        <v>33</v>
      </c>
      <c r="EY27" s="49" t="s">
        <v>33</v>
      </c>
      <c r="EZ27" s="49" t="s">
        <v>33</v>
      </c>
      <c r="FA27" s="49" t="s">
        <v>33</v>
      </c>
      <c r="FB27" s="49" t="s">
        <v>33</v>
      </c>
      <c r="FC27" s="49" t="s">
        <v>33</v>
      </c>
      <c r="FD27" s="49" t="s">
        <v>33</v>
      </c>
      <c r="FE27" s="13" t="s">
        <v>33</v>
      </c>
      <c r="FF27" s="13" t="s">
        <v>33</v>
      </c>
      <c r="FG27" s="13" t="s">
        <v>33</v>
      </c>
      <c r="FH27" s="13" t="s">
        <v>33</v>
      </c>
      <c r="FI27" s="13" t="s">
        <v>33</v>
      </c>
      <c r="FJ27" s="13" t="s">
        <v>33</v>
      </c>
      <c r="FK27" s="13" t="s">
        <v>33</v>
      </c>
      <c r="FL27" s="13" t="s">
        <v>33</v>
      </c>
      <c r="FM27" s="13" t="s">
        <v>33</v>
      </c>
      <c r="FN27" s="13" t="s">
        <v>33</v>
      </c>
      <c r="FO27" s="13" t="s">
        <v>33</v>
      </c>
      <c r="FP27" s="13" t="s">
        <v>33</v>
      </c>
      <c r="FQ27" s="13" t="s">
        <v>33</v>
      </c>
      <c r="FR27" s="13" t="s">
        <v>33</v>
      </c>
      <c r="FS27" s="13" t="s">
        <v>33</v>
      </c>
      <c r="FT27" s="13" t="s">
        <v>33</v>
      </c>
      <c r="FU27" s="13" t="s">
        <v>33</v>
      </c>
      <c r="FV27" s="13" t="s">
        <v>33</v>
      </c>
      <c r="FW27" s="13" t="s">
        <v>33</v>
      </c>
      <c r="FX27" s="49" t="s">
        <v>41</v>
      </c>
      <c r="FY27" s="49" t="s">
        <v>41</v>
      </c>
      <c r="FZ27" s="49" t="s">
        <v>41</v>
      </c>
      <c r="GA27" s="49" t="s">
        <v>41</v>
      </c>
      <c r="GB27" s="49" t="s">
        <v>41</v>
      </c>
      <c r="GC27" s="13" t="s">
        <v>33</v>
      </c>
      <c r="GD27" s="13" t="s">
        <v>33</v>
      </c>
      <c r="GE27" s="13" t="s">
        <v>33</v>
      </c>
      <c r="GF27" s="13" t="s">
        <v>33</v>
      </c>
      <c r="GG27" s="13" t="s">
        <v>33</v>
      </c>
      <c r="GH27" s="13" t="s">
        <v>33</v>
      </c>
      <c r="GI27" s="13" t="s">
        <v>33</v>
      </c>
      <c r="GJ27" s="13" t="s">
        <v>33</v>
      </c>
      <c r="GK27" s="13"/>
      <c r="GL27" s="13"/>
      <c r="GM27" s="13"/>
      <c r="GN27" s="13"/>
      <c r="GO27" s="13"/>
    </row>
    <row r="28" customFormat="false" ht="15.75" hidden="false" customHeight="false" outlineLevel="0" collapsed="false">
      <c r="A28" s="20" t="s">
        <v>198</v>
      </c>
      <c r="B28" s="184" t="s">
        <v>33</v>
      </c>
      <c r="C28" s="184" t="s">
        <v>33</v>
      </c>
      <c r="D28" s="184" t="s">
        <v>33</v>
      </c>
      <c r="E28" s="184" t="s">
        <v>33</v>
      </c>
      <c r="F28" s="184" t="s">
        <v>33</v>
      </c>
      <c r="G28" s="184" t="s">
        <v>33</v>
      </c>
      <c r="H28" s="184" t="s">
        <v>33</v>
      </c>
      <c r="I28" s="184" t="s">
        <v>33</v>
      </c>
      <c r="J28" s="184" t="s">
        <v>33</v>
      </c>
      <c r="K28" s="184" t="s">
        <v>33</v>
      </c>
      <c r="L28" s="184" t="s">
        <v>33</v>
      </c>
      <c r="M28" s="184" t="s">
        <v>33</v>
      </c>
      <c r="N28" s="184" t="s">
        <v>33</v>
      </c>
      <c r="O28" s="184" t="s">
        <v>33</v>
      </c>
      <c r="P28" s="45" t="s">
        <v>842</v>
      </c>
      <c r="Q28" s="184" t="s">
        <v>33</v>
      </c>
      <c r="R28" s="184" t="s">
        <v>33</v>
      </c>
      <c r="S28" s="184" t="s">
        <v>33</v>
      </c>
      <c r="T28" s="184" t="s">
        <v>33</v>
      </c>
      <c r="U28" s="184" t="s">
        <v>33</v>
      </c>
      <c r="V28" s="184" t="s">
        <v>33</v>
      </c>
      <c r="W28" s="184" t="s">
        <v>33</v>
      </c>
      <c r="X28" s="184" t="s">
        <v>33</v>
      </c>
      <c r="Y28" s="184" t="s">
        <v>33</v>
      </c>
      <c r="Z28" s="184" t="s">
        <v>33</v>
      </c>
      <c r="AA28" s="184" t="s">
        <v>33</v>
      </c>
      <c r="AB28" s="184" t="s">
        <v>33</v>
      </c>
      <c r="AC28" s="184" t="s">
        <v>33</v>
      </c>
      <c r="AD28" s="45" t="s">
        <v>37</v>
      </c>
      <c r="AE28" s="45" t="s">
        <v>37</v>
      </c>
      <c r="AF28" s="184" t="s">
        <v>33</v>
      </c>
      <c r="AG28" s="184" t="s">
        <v>33</v>
      </c>
      <c r="AH28" s="184" t="s">
        <v>33</v>
      </c>
      <c r="AI28" s="184" t="s">
        <v>33</v>
      </c>
      <c r="AJ28" s="184" t="s">
        <v>33</v>
      </c>
      <c r="AK28" s="184" t="s">
        <v>33</v>
      </c>
      <c r="AL28" s="184" t="s">
        <v>33</v>
      </c>
      <c r="AM28" s="184" t="s">
        <v>33</v>
      </c>
      <c r="AN28" s="45" t="s">
        <v>37</v>
      </c>
      <c r="AO28" s="184" t="s">
        <v>33</v>
      </c>
      <c r="AP28" s="184" t="s">
        <v>33</v>
      </c>
      <c r="AQ28" s="184" t="s">
        <v>33</v>
      </c>
      <c r="AR28" s="184" t="s">
        <v>33</v>
      </c>
      <c r="AS28" s="184" t="s">
        <v>33</v>
      </c>
      <c r="AT28" s="184" t="s">
        <v>33</v>
      </c>
      <c r="AU28" s="184" t="s">
        <v>33</v>
      </c>
      <c r="AV28" s="184" t="s">
        <v>33</v>
      </c>
      <c r="AW28" s="184" t="s">
        <v>33</v>
      </c>
      <c r="AX28" s="184" t="s">
        <v>33</v>
      </c>
      <c r="AY28" s="184" t="s">
        <v>33</v>
      </c>
      <c r="AZ28" s="184" t="s">
        <v>33</v>
      </c>
      <c r="BA28" s="184" t="s">
        <v>33</v>
      </c>
      <c r="BB28" s="184" t="s">
        <v>33</v>
      </c>
      <c r="BC28" s="184" t="s">
        <v>33</v>
      </c>
      <c r="BD28" s="184" t="s">
        <v>33</v>
      </c>
      <c r="BE28" s="184" t="s">
        <v>33</v>
      </c>
      <c r="BF28" s="184" t="s">
        <v>33</v>
      </c>
      <c r="BG28" s="184" t="s">
        <v>33</v>
      </c>
      <c r="BH28" s="184" t="s">
        <v>33</v>
      </c>
      <c r="BI28" s="184" t="s">
        <v>33</v>
      </c>
      <c r="BJ28" s="184" t="s">
        <v>33</v>
      </c>
      <c r="BK28" s="184" t="s">
        <v>33</v>
      </c>
      <c r="BL28" s="184" t="s">
        <v>33</v>
      </c>
      <c r="BM28" s="184" t="s">
        <v>33</v>
      </c>
      <c r="BN28" s="184" t="s">
        <v>33</v>
      </c>
      <c r="BO28" s="184" t="s">
        <v>33</v>
      </c>
      <c r="BP28" s="184" t="s">
        <v>33</v>
      </c>
      <c r="BQ28" s="184" t="s">
        <v>33</v>
      </c>
      <c r="BR28" s="184" t="s">
        <v>33</v>
      </c>
      <c r="BS28" s="184" t="s">
        <v>33</v>
      </c>
      <c r="BT28" s="184" t="s">
        <v>33</v>
      </c>
      <c r="BU28" s="184" t="s">
        <v>33</v>
      </c>
      <c r="BV28" s="184" t="s">
        <v>33</v>
      </c>
      <c r="BW28" s="184" t="s">
        <v>33</v>
      </c>
      <c r="BX28" s="184" t="s">
        <v>33</v>
      </c>
      <c r="BY28" s="184" t="s">
        <v>33</v>
      </c>
      <c r="BZ28" s="184" t="s">
        <v>33</v>
      </c>
      <c r="CA28" s="184" t="s">
        <v>33</v>
      </c>
      <c r="CB28" s="184" t="s">
        <v>33</v>
      </c>
      <c r="CC28" s="184" t="s">
        <v>33</v>
      </c>
      <c r="CD28" s="184" t="s">
        <v>33</v>
      </c>
      <c r="CE28" s="184" t="s">
        <v>33</v>
      </c>
      <c r="CF28" s="184" t="s">
        <v>33</v>
      </c>
      <c r="CG28" s="184" t="s">
        <v>33</v>
      </c>
      <c r="CH28" s="184" t="s">
        <v>33</v>
      </c>
      <c r="CI28" s="184" t="s">
        <v>33</v>
      </c>
      <c r="CJ28" s="184" t="s">
        <v>33</v>
      </c>
      <c r="CK28" s="184" t="s">
        <v>33</v>
      </c>
      <c r="CL28" s="184" t="s">
        <v>33</v>
      </c>
      <c r="CM28" s="191" t="s">
        <v>33</v>
      </c>
      <c r="CN28" s="191" t="s">
        <v>33</v>
      </c>
      <c r="CO28" s="191" t="s">
        <v>33</v>
      </c>
      <c r="CP28" s="191" t="s">
        <v>33</v>
      </c>
      <c r="CQ28" s="191" t="s">
        <v>33</v>
      </c>
      <c r="CR28" s="191" t="s">
        <v>33</v>
      </c>
      <c r="CS28" s="49" t="s">
        <v>33</v>
      </c>
      <c r="CT28" s="49" t="s">
        <v>33</v>
      </c>
      <c r="CU28" s="49" t="s">
        <v>33</v>
      </c>
      <c r="CV28" s="170" t="s">
        <v>33</v>
      </c>
      <c r="CW28" s="170" t="s">
        <v>33</v>
      </c>
      <c r="CX28" s="49" t="s">
        <v>33</v>
      </c>
      <c r="CY28" s="49" t="s">
        <v>33</v>
      </c>
      <c r="CZ28" s="49" t="s">
        <v>33</v>
      </c>
      <c r="DA28" s="49" t="s">
        <v>33</v>
      </c>
      <c r="DB28" s="49" t="s">
        <v>41</v>
      </c>
      <c r="DC28" s="49" t="s">
        <v>41</v>
      </c>
      <c r="DD28" s="49" t="s">
        <v>33</v>
      </c>
      <c r="DE28" s="49" t="s">
        <v>33</v>
      </c>
      <c r="DF28" s="49" t="s">
        <v>33</v>
      </c>
      <c r="DG28" s="49" t="s">
        <v>33</v>
      </c>
      <c r="DH28" s="49" t="s">
        <v>33</v>
      </c>
      <c r="DI28" s="49" t="s">
        <v>33</v>
      </c>
      <c r="DJ28" s="49" t="s">
        <v>33</v>
      </c>
      <c r="DK28" s="49" t="s">
        <v>33</v>
      </c>
      <c r="DL28" s="49" t="s">
        <v>37</v>
      </c>
      <c r="DM28" s="49" t="s">
        <v>33</v>
      </c>
      <c r="DN28" s="49" t="s">
        <v>33</v>
      </c>
      <c r="DO28" s="49" t="s">
        <v>33</v>
      </c>
      <c r="DP28" s="49" t="s">
        <v>33</v>
      </c>
      <c r="DQ28" s="49" t="s">
        <v>33</v>
      </c>
      <c r="DR28" s="49" t="s">
        <v>33</v>
      </c>
      <c r="DS28" s="49" t="s">
        <v>33</v>
      </c>
      <c r="DT28" s="49" t="s">
        <v>33</v>
      </c>
      <c r="DU28" s="49" t="s">
        <v>33</v>
      </c>
      <c r="DV28" s="49" t="s">
        <v>33</v>
      </c>
      <c r="DW28" s="170" t="s">
        <v>33</v>
      </c>
      <c r="DX28" s="170" t="s">
        <v>33</v>
      </c>
      <c r="DY28" s="49" t="s">
        <v>41</v>
      </c>
      <c r="DZ28" s="49" t="s">
        <v>33</v>
      </c>
      <c r="EA28" s="49" t="s">
        <v>33</v>
      </c>
      <c r="EB28" s="49" t="s">
        <v>41</v>
      </c>
      <c r="EC28" s="49" t="s">
        <v>33</v>
      </c>
      <c r="ED28" s="49" t="s">
        <v>33</v>
      </c>
      <c r="EE28" s="49" t="s">
        <v>33</v>
      </c>
      <c r="EF28" s="49" t="s">
        <v>33</v>
      </c>
      <c r="EG28" s="49" t="s">
        <v>33</v>
      </c>
      <c r="EH28" s="49" t="s">
        <v>41</v>
      </c>
      <c r="EI28" s="49" t="s">
        <v>41</v>
      </c>
      <c r="EJ28" s="49" t="s">
        <v>33</v>
      </c>
      <c r="EK28" s="49" t="s">
        <v>33</v>
      </c>
      <c r="EL28" s="49" t="s">
        <v>33</v>
      </c>
      <c r="EM28" s="49" t="s">
        <v>33</v>
      </c>
      <c r="EN28" s="49" t="s">
        <v>33</v>
      </c>
      <c r="EO28" s="49" t="s">
        <v>33</v>
      </c>
      <c r="EP28" s="49" t="s">
        <v>33</v>
      </c>
      <c r="EQ28" s="49" t="s">
        <v>33</v>
      </c>
      <c r="ER28" s="49" t="s">
        <v>33</v>
      </c>
      <c r="ES28" s="49" t="s">
        <v>33</v>
      </c>
      <c r="ET28" s="49" t="s">
        <v>33</v>
      </c>
      <c r="EU28" s="170" t="s">
        <v>33</v>
      </c>
      <c r="EV28" s="49" t="s">
        <v>33</v>
      </c>
      <c r="EW28" s="49" t="s">
        <v>33</v>
      </c>
      <c r="EX28" s="49" t="s">
        <v>33</v>
      </c>
      <c r="EY28" s="49" t="s">
        <v>33</v>
      </c>
      <c r="EZ28" s="49" t="s">
        <v>33</v>
      </c>
      <c r="FA28" s="49" t="s">
        <v>33</v>
      </c>
      <c r="FB28" s="49" t="s">
        <v>33</v>
      </c>
      <c r="FC28" s="49" t="s">
        <v>33</v>
      </c>
      <c r="FD28" s="49" t="s">
        <v>33</v>
      </c>
      <c r="FE28" s="13" t="s">
        <v>33</v>
      </c>
      <c r="FF28" s="13" t="s">
        <v>33</v>
      </c>
      <c r="FG28" s="13" t="s">
        <v>33</v>
      </c>
      <c r="FH28" s="13" t="s">
        <v>33</v>
      </c>
      <c r="FI28" s="13" t="s">
        <v>33</v>
      </c>
      <c r="FJ28" s="13" t="s">
        <v>33</v>
      </c>
      <c r="FK28" s="13" t="s">
        <v>33</v>
      </c>
      <c r="FL28" s="13" t="s">
        <v>33</v>
      </c>
      <c r="FM28" s="13" t="s">
        <v>33</v>
      </c>
      <c r="FN28" s="13" t="s">
        <v>33</v>
      </c>
      <c r="FO28" s="13" t="s">
        <v>33</v>
      </c>
      <c r="FP28" s="49" t="s">
        <v>37</v>
      </c>
      <c r="FQ28" s="49" t="s">
        <v>33</v>
      </c>
      <c r="FR28" s="49" t="s">
        <v>33</v>
      </c>
      <c r="FS28" s="49" t="s">
        <v>33</v>
      </c>
      <c r="FT28" s="49" t="s">
        <v>37</v>
      </c>
      <c r="FU28" s="49" t="s">
        <v>37</v>
      </c>
      <c r="FV28" s="49" t="s">
        <v>37</v>
      </c>
      <c r="FW28" s="49" t="s">
        <v>37</v>
      </c>
      <c r="FX28" s="49" t="s">
        <v>33</v>
      </c>
      <c r="FY28" s="49" t="s">
        <v>33</v>
      </c>
      <c r="FZ28" s="49" t="s">
        <v>33</v>
      </c>
      <c r="GA28" s="49" t="s">
        <v>33</v>
      </c>
      <c r="GB28" s="49" t="s">
        <v>33</v>
      </c>
      <c r="GC28" s="49" t="s">
        <v>33</v>
      </c>
      <c r="GD28" s="13" t="s">
        <v>33</v>
      </c>
      <c r="GE28" s="13" t="s">
        <v>33</v>
      </c>
      <c r="GF28" s="13" t="s">
        <v>33</v>
      </c>
      <c r="GG28" s="13" t="s">
        <v>33</v>
      </c>
      <c r="GH28" s="13" t="s">
        <v>33</v>
      </c>
      <c r="GI28" s="13" t="s">
        <v>33</v>
      </c>
      <c r="GJ28" s="13" t="s">
        <v>33</v>
      </c>
      <c r="GK28" s="13"/>
      <c r="GL28" s="13"/>
      <c r="GM28" s="13"/>
      <c r="GN28" s="13"/>
      <c r="GO28" s="13"/>
    </row>
    <row r="29" s="13" customFormat="true" ht="15.75" hidden="true" customHeight="true" outlineLevel="0" collapsed="false">
      <c r="A29" s="20" t="s">
        <v>95</v>
      </c>
      <c r="B29" s="196"/>
      <c r="C29" s="196"/>
      <c r="D29" s="196"/>
      <c r="E29" s="196"/>
      <c r="F29" s="196"/>
      <c r="G29" s="196"/>
      <c r="H29" s="196"/>
      <c r="I29" s="196"/>
      <c r="J29" s="196"/>
      <c r="K29" s="196"/>
      <c r="L29" s="196"/>
      <c r="M29" s="196"/>
      <c r="N29" s="196"/>
      <c r="O29" s="196"/>
      <c r="P29" s="196"/>
      <c r="Q29" s="196"/>
      <c r="R29" s="196"/>
      <c r="S29" s="196"/>
      <c r="T29" s="196"/>
      <c r="U29" s="196"/>
      <c r="V29" s="196"/>
      <c r="W29" s="196"/>
      <c r="X29" s="196"/>
      <c r="Y29" s="196"/>
      <c r="Z29" s="196"/>
      <c r="AA29" s="196"/>
      <c r="AB29" s="196"/>
      <c r="AC29" s="196"/>
      <c r="AD29" s="196"/>
      <c r="AE29" s="196"/>
      <c r="AF29" s="196"/>
      <c r="AG29" s="196"/>
      <c r="AH29" s="196"/>
      <c r="AI29" s="196"/>
      <c r="AJ29" s="196"/>
      <c r="AK29" s="196"/>
      <c r="AL29" s="196"/>
      <c r="AM29" s="196"/>
      <c r="AN29" s="196"/>
      <c r="AO29" s="196"/>
      <c r="AP29" s="196"/>
      <c r="AQ29" s="196"/>
      <c r="AR29" s="196"/>
      <c r="AS29" s="196"/>
      <c r="AT29" s="196"/>
      <c r="AU29" s="196"/>
      <c r="AV29" s="196"/>
      <c r="AW29" s="196"/>
      <c r="AX29" s="196"/>
      <c r="AY29" s="196"/>
      <c r="AZ29" s="196"/>
      <c r="BA29" s="196"/>
      <c r="BB29" s="196"/>
      <c r="BC29" s="196"/>
      <c r="BD29" s="196"/>
      <c r="BE29" s="196"/>
      <c r="BF29" s="196"/>
      <c r="BG29" s="196"/>
      <c r="BH29" s="196"/>
      <c r="BI29" s="196"/>
      <c r="BJ29" s="196"/>
      <c r="BK29" s="196"/>
      <c r="BL29" s="196"/>
      <c r="BM29" s="196"/>
      <c r="BN29" s="196"/>
      <c r="BO29" s="196"/>
      <c r="BP29" s="196"/>
      <c r="BQ29" s="196"/>
      <c r="BR29" s="196"/>
      <c r="BS29" s="196"/>
      <c r="BT29" s="196"/>
      <c r="BU29" s="196"/>
      <c r="BV29" s="196"/>
      <c r="BW29" s="196"/>
      <c r="BX29" s="196"/>
      <c r="BY29" s="196"/>
      <c r="BZ29" s="196"/>
      <c r="CA29" s="196"/>
      <c r="CB29" s="196"/>
      <c r="CC29" s="196"/>
      <c r="CD29" s="196"/>
      <c r="CE29" s="196"/>
      <c r="CF29" s="196"/>
      <c r="CG29" s="196"/>
      <c r="CH29" s="196"/>
      <c r="CI29" s="196"/>
      <c r="CJ29" s="196"/>
      <c r="CK29" s="196"/>
      <c r="CL29" s="196"/>
      <c r="CM29" s="196"/>
      <c r="CN29" s="196"/>
      <c r="CO29" s="196"/>
      <c r="CP29" s="196"/>
      <c r="CQ29" s="196"/>
      <c r="CR29" s="196"/>
      <c r="CS29" s="196"/>
      <c r="CT29" s="196"/>
      <c r="CU29" s="196"/>
      <c r="CV29" s="196"/>
      <c r="CW29" s="196"/>
      <c r="CX29" s="196"/>
      <c r="CY29" s="196"/>
      <c r="CZ29" s="196"/>
      <c r="DA29" s="196"/>
      <c r="DB29" s="196"/>
      <c r="DC29" s="196"/>
      <c r="DD29" s="196"/>
      <c r="DE29" s="196"/>
      <c r="DF29" s="196"/>
      <c r="DG29" s="196"/>
      <c r="DH29" s="196"/>
      <c r="DI29" s="196"/>
      <c r="DJ29" s="196"/>
      <c r="DK29" s="196"/>
      <c r="DL29" s="196"/>
      <c r="DM29" s="196"/>
      <c r="DN29" s="196"/>
      <c r="DO29" s="196"/>
      <c r="DP29" s="196"/>
      <c r="DQ29" s="196"/>
      <c r="DR29" s="196"/>
      <c r="DS29" s="196"/>
      <c r="DT29" s="196"/>
      <c r="DU29" s="196"/>
      <c r="DV29" s="196"/>
      <c r="DW29" s="196"/>
      <c r="DX29" s="196"/>
      <c r="DY29" s="196"/>
      <c r="DZ29" s="196"/>
      <c r="EA29" s="196"/>
      <c r="EB29" s="196"/>
      <c r="EC29" s="196"/>
      <c r="ED29" s="196"/>
      <c r="EE29" s="196"/>
      <c r="EF29" s="196"/>
      <c r="EG29" s="196"/>
      <c r="EH29" s="196"/>
      <c r="EI29" s="196"/>
      <c r="EJ29" s="196"/>
      <c r="EK29" s="196"/>
      <c r="EL29" s="196"/>
      <c r="EM29" s="196"/>
      <c r="EN29" s="196"/>
      <c r="EO29" s="196"/>
      <c r="EP29" s="196"/>
      <c r="EQ29" s="196"/>
      <c r="ER29" s="196"/>
      <c r="ES29" s="196"/>
      <c r="ET29" s="197"/>
      <c r="EU29" s="196"/>
      <c r="EV29" s="219"/>
      <c r="EW29" s="219"/>
      <c r="EX29" s="219"/>
      <c r="EY29" s="219"/>
      <c r="EZ29" s="219"/>
      <c r="FA29" s="219"/>
      <c r="FB29" s="219"/>
      <c r="FC29" s="219"/>
      <c r="FD29" s="219"/>
      <c r="FE29" s="219"/>
      <c r="FF29" s="219"/>
      <c r="FG29" s="219"/>
      <c r="FH29" s="219"/>
      <c r="FI29" s="219"/>
      <c r="FJ29" s="219"/>
      <c r="FK29" s="219"/>
      <c r="FL29" s="219"/>
      <c r="FM29" s="219"/>
      <c r="FN29" s="219"/>
      <c r="FO29" s="219"/>
      <c r="FP29" s="219"/>
      <c r="FQ29" s="219"/>
      <c r="FR29" s="219"/>
      <c r="FS29" s="219"/>
      <c r="FT29" s="69"/>
      <c r="FU29" s="69"/>
      <c r="FV29" s="69"/>
      <c r="FW29" s="69"/>
      <c r="FX29" s="49" t="s">
        <v>33</v>
      </c>
      <c r="FY29" s="49" t="s">
        <v>33</v>
      </c>
      <c r="FZ29" s="49" t="s">
        <v>33</v>
      </c>
      <c r="GA29" s="49" t="s">
        <v>33</v>
      </c>
      <c r="GB29" s="49" t="s">
        <v>33</v>
      </c>
      <c r="GC29" s="69"/>
      <c r="GD29" s="69"/>
      <c r="GE29" s="69"/>
      <c r="GF29" s="69"/>
      <c r="GG29" s="69"/>
      <c r="GH29" s="69"/>
      <c r="GI29" s="69"/>
      <c r="GJ29" s="69"/>
      <c r="GK29" s="69"/>
      <c r="GL29" s="69"/>
      <c r="GM29" s="69"/>
      <c r="GN29" s="69"/>
      <c r="GO29" s="69"/>
    </row>
    <row r="30" s="13" customFormat="true" ht="15.75" hidden="true" customHeight="true" outlineLevel="0" collapsed="false">
      <c r="A30" s="20" t="s">
        <v>114</v>
      </c>
      <c r="B30" s="196"/>
      <c r="C30" s="196"/>
      <c r="D30" s="196"/>
      <c r="E30" s="196"/>
      <c r="F30" s="196"/>
      <c r="G30" s="196"/>
      <c r="H30" s="196"/>
      <c r="I30" s="196"/>
      <c r="J30" s="196"/>
      <c r="K30" s="196"/>
      <c r="L30" s="196"/>
      <c r="M30" s="196"/>
      <c r="N30" s="196"/>
      <c r="O30" s="196"/>
      <c r="P30" s="196"/>
      <c r="Q30" s="196"/>
      <c r="R30" s="196"/>
      <c r="S30" s="196"/>
      <c r="T30" s="196"/>
      <c r="U30" s="196"/>
      <c r="V30" s="196"/>
      <c r="W30" s="196"/>
      <c r="X30" s="196"/>
      <c r="Y30" s="196"/>
      <c r="Z30" s="196"/>
      <c r="AA30" s="196"/>
      <c r="AB30" s="196"/>
      <c r="AC30" s="196"/>
      <c r="AD30" s="196"/>
      <c r="AE30" s="196"/>
      <c r="AF30" s="196"/>
      <c r="AG30" s="196"/>
      <c r="AH30" s="196"/>
      <c r="AI30" s="196"/>
      <c r="AJ30" s="196"/>
      <c r="AK30" s="196"/>
      <c r="AL30" s="196"/>
      <c r="AM30" s="196"/>
      <c r="AN30" s="196"/>
      <c r="AO30" s="196"/>
      <c r="AP30" s="196"/>
      <c r="AQ30" s="196"/>
      <c r="AR30" s="196"/>
      <c r="AS30" s="196"/>
      <c r="AT30" s="196"/>
      <c r="AU30" s="196"/>
      <c r="AV30" s="196"/>
      <c r="AW30" s="196"/>
      <c r="AX30" s="196"/>
      <c r="AY30" s="196"/>
      <c r="AZ30" s="196"/>
      <c r="BA30" s="196"/>
      <c r="BB30" s="196"/>
      <c r="BC30" s="196"/>
      <c r="BD30" s="196"/>
      <c r="BE30" s="196"/>
      <c r="BF30" s="196"/>
      <c r="BG30" s="196"/>
      <c r="BH30" s="196"/>
      <c r="BI30" s="196"/>
      <c r="BJ30" s="196"/>
      <c r="BK30" s="196"/>
      <c r="BL30" s="196"/>
      <c r="BM30" s="196"/>
      <c r="BN30" s="196"/>
      <c r="BO30" s="196"/>
      <c r="BP30" s="196"/>
      <c r="BQ30" s="196"/>
      <c r="BR30" s="196"/>
      <c r="BS30" s="196"/>
      <c r="BT30" s="196"/>
      <c r="BU30" s="196"/>
      <c r="BV30" s="196"/>
      <c r="BW30" s="196"/>
      <c r="BX30" s="196"/>
      <c r="BY30" s="196"/>
      <c r="BZ30" s="196"/>
      <c r="CA30" s="196"/>
      <c r="CB30" s="196"/>
      <c r="CC30" s="196"/>
      <c r="CD30" s="196"/>
      <c r="CE30" s="196"/>
      <c r="CF30" s="196"/>
      <c r="CG30" s="196"/>
      <c r="CH30" s="196"/>
      <c r="CI30" s="196"/>
      <c r="CJ30" s="196"/>
      <c r="CK30" s="196"/>
      <c r="CL30" s="196"/>
      <c r="CM30" s="196"/>
      <c r="CN30" s="196"/>
      <c r="CO30" s="196"/>
      <c r="CP30" s="196"/>
      <c r="CQ30" s="196"/>
      <c r="CR30" s="196"/>
      <c r="CS30" s="196"/>
      <c r="CT30" s="196"/>
      <c r="CU30" s="196"/>
      <c r="CV30" s="196"/>
      <c r="CW30" s="196"/>
      <c r="CX30" s="196"/>
      <c r="CY30" s="196"/>
      <c r="CZ30" s="196"/>
      <c r="DA30" s="196"/>
      <c r="DB30" s="196"/>
      <c r="DC30" s="196"/>
      <c r="DD30" s="196"/>
      <c r="DE30" s="196"/>
      <c r="DF30" s="196"/>
      <c r="DG30" s="196"/>
      <c r="DH30" s="196"/>
      <c r="DI30" s="196"/>
      <c r="DJ30" s="196"/>
      <c r="DK30" s="196"/>
      <c r="DL30" s="196"/>
      <c r="DM30" s="196"/>
      <c r="DN30" s="196"/>
      <c r="DO30" s="196"/>
      <c r="DP30" s="196"/>
      <c r="DQ30" s="196"/>
      <c r="DR30" s="196"/>
      <c r="DS30" s="196"/>
      <c r="DT30" s="196"/>
      <c r="DU30" s="196"/>
      <c r="DV30" s="196"/>
      <c r="DW30" s="196"/>
      <c r="DX30" s="196"/>
      <c r="DY30" s="196"/>
      <c r="DZ30" s="196"/>
      <c r="EA30" s="196"/>
      <c r="EB30" s="196"/>
      <c r="EC30" s="196"/>
      <c r="ED30" s="196"/>
      <c r="EE30" s="196"/>
      <c r="EF30" s="196"/>
      <c r="EG30" s="196"/>
      <c r="EH30" s="196"/>
      <c r="EI30" s="196"/>
      <c r="EJ30" s="196"/>
      <c r="EK30" s="196"/>
      <c r="EL30" s="196"/>
      <c r="EM30" s="196"/>
      <c r="EN30" s="196"/>
      <c r="EO30" s="196"/>
      <c r="EP30" s="196"/>
      <c r="EQ30" s="196"/>
      <c r="ER30" s="196"/>
      <c r="ES30" s="196"/>
      <c r="ET30" s="197"/>
      <c r="EU30" s="196"/>
      <c r="EV30" s="196"/>
      <c r="EW30" s="196"/>
      <c r="EX30" s="196"/>
      <c r="EY30" s="196"/>
      <c r="EZ30" s="196"/>
      <c r="FA30" s="196"/>
      <c r="FB30" s="196"/>
      <c r="FC30" s="196"/>
      <c r="FD30" s="196"/>
      <c r="FE30" s="196"/>
      <c r="FF30" s="196"/>
      <c r="FG30" s="196"/>
      <c r="FH30" s="196"/>
      <c r="FI30" s="196"/>
      <c r="FJ30" s="196"/>
      <c r="FK30" s="196"/>
      <c r="FL30" s="196"/>
      <c r="FM30" s="196"/>
      <c r="FN30" s="196"/>
      <c r="FO30" s="196"/>
      <c r="FP30" s="196"/>
      <c r="FQ30" s="196"/>
      <c r="FR30" s="196"/>
      <c r="FS30" s="196"/>
      <c r="FX30" s="49" t="s">
        <v>33</v>
      </c>
      <c r="FY30" s="49" t="s">
        <v>33</v>
      </c>
      <c r="FZ30" s="49" t="s">
        <v>33</v>
      </c>
      <c r="GA30" s="49" t="s">
        <v>33</v>
      </c>
      <c r="GB30" s="49" t="s">
        <v>33</v>
      </c>
    </row>
    <row r="31" s="13" customFormat="true" ht="15.75" hidden="true" customHeight="true" outlineLevel="0" collapsed="false">
      <c r="A31" s="20" t="s">
        <v>117</v>
      </c>
      <c r="B31" s="196"/>
      <c r="C31" s="196"/>
      <c r="D31" s="196"/>
      <c r="E31" s="196"/>
      <c r="F31" s="196"/>
      <c r="G31" s="196"/>
      <c r="H31" s="196"/>
      <c r="I31" s="196"/>
      <c r="J31" s="196"/>
      <c r="K31" s="196"/>
      <c r="L31" s="196"/>
      <c r="M31" s="196"/>
      <c r="N31" s="196"/>
      <c r="O31" s="196"/>
      <c r="P31" s="196"/>
      <c r="Q31" s="196"/>
      <c r="R31" s="196"/>
      <c r="S31" s="196"/>
      <c r="T31" s="196"/>
      <c r="U31" s="196"/>
      <c r="V31" s="196"/>
      <c r="W31" s="196"/>
      <c r="X31" s="196"/>
      <c r="Y31" s="196"/>
      <c r="Z31" s="196"/>
      <c r="AA31" s="196"/>
      <c r="AB31" s="196"/>
      <c r="AC31" s="196"/>
      <c r="AD31" s="196"/>
      <c r="AE31" s="196"/>
      <c r="AF31" s="196"/>
      <c r="AG31" s="196"/>
      <c r="AH31" s="196"/>
      <c r="AI31" s="196"/>
      <c r="AJ31" s="196"/>
      <c r="AK31" s="196"/>
      <c r="AL31" s="196"/>
      <c r="AM31" s="196"/>
      <c r="AN31" s="196"/>
      <c r="AO31" s="196"/>
      <c r="AP31" s="196"/>
      <c r="AQ31" s="196"/>
      <c r="AR31" s="196"/>
      <c r="AS31" s="196"/>
      <c r="AT31" s="196"/>
      <c r="AU31" s="196"/>
      <c r="AV31" s="196"/>
      <c r="AW31" s="196"/>
      <c r="AX31" s="196"/>
      <c r="AY31" s="196"/>
      <c r="AZ31" s="196"/>
      <c r="BA31" s="196"/>
      <c r="BB31" s="196"/>
      <c r="BC31" s="196"/>
      <c r="BD31" s="196"/>
      <c r="BE31" s="196"/>
      <c r="BF31" s="196"/>
      <c r="BG31" s="196"/>
      <c r="BH31" s="196"/>
      <c r="BI31" s="196"/>
      <c r="BJ31" s="196"/>
      <c r="BK31" s="196"/>
      <c r="BL31" s="196"/>
      <c r="BM31" s="196"/>
      <c r="BN31" s="196"/>
      <c r="BO31" s="196"/>
      <c r="BP31" s="196"/>
      <c r="BQ31" s="196"/>
      <c r="BR31" s="196"/>
      <c r="BS31" s="196"/>
      <c r="BT31" s="196"/>
      <c r="BU31" s="196"/>
      <c r="BV31" s="196"/>
      <c r="BW31" s="196"/>
      <c r="BX31" s="196"/>
      <c r="BY31" s="196"/>
      <c r="BZ31" s="196"/>
      <c r="CA31" s="196"/>
      <c r="CB31" s="196"/>
      <c r="CC31" s="196"/>
      <c r="CD31" s="196"/>
      <c r="CE31" s="196"/>
      <c r="CF31" s="196"/>
      <c r="CG31" s="196"/>
      <c r="CH31" s="196"/>
      <c r="CI31" s="196"/>
      <c r="CJ31" s="196"/>
      <c r="CK31" s="196"/>
      <c r="CL31" s="196"/>
      <c r="CM31" s="196"/>
      <c r="CN31" s="196"/>
      <c r="CO31" s="196"/>
      <c r="CP31" s="196"/>
      <c r="CQ31" s="196"/>
      <c r="CR31" s="196"/>
      <c r="CS31" s="196"/>
      <c r="CT31" s="196"/>
      <c r="CU31" s="196"/>
      <c r="CV31" s="196"/>
      <c r="CW31" s="196"/>
      <c r="CX31" s="196"/>
      <c r="CY31" s="196"/>
      <c r="CZ31" s="196"/>
      <c r="DA31" s="196"/>
      <c r="DB31" s="196"/>
      <c r="DC31" s="196"/>
      <c r="DD31" s="196"/>
      <c r="DE31" s="196"/>
      <c r="DF31" s="196"/>
      <c r="DG31" s="196"/>
      <c r="DH31" s="196"/>
      <c r="DI31" s="196"/>
      <c r="DJ31" s="196"/>
      <c r="DK31" s="196"/>
      <c r="DL31" s="196"/>
      <c r="DM31" s="196"/>
      <c r="DN31" s="196"/>
      <c r="DO31" s="196"/>
      <c r="DP31" s="196"/>
      <c r="DQ31" s="196"/>
      <c r="DR31" s="196"/>
      <c r="DS31" s="196"/>
      <c r="DT31" s="196"/>
      <c r="DU31" s="196"/>
      <c r="DV31" s="196"/>
      <c r="DW31" s="196"/>
      <c r="DX31" s="196"/>
      <c r="DY31" s="196"/>
      <c r="DZ31" s="196"/>
      <c r="EA31" s="196"/>
      <c r="EB31" s="196"/>
      <c r="EC31" s="196"/>
      <c r="ED31" s="196"/>
      <c r="EE31" s="196"/>
      <c r="EF31" s="196"/>
      <c r="EG31" s="196"/>
      <c r="EH31" s="196"/>
      <c r="EI31" s="196"/>
      <c r="EJ31" s="196"/>
      <c r="EK31" s="196"/>
      <c r="EL31" s="196"/>
      <c r="EM31" s="196"/>
      <c r="EN31" s="196"/>
      <c r="EO31" s="196"/>
      <c r="EP31" s="196"/>
      <c r="EQ31" s="196"/>
      <c r="ER31" s="196"/>
      <c r="ES31" s="196"/>
      <c r="ET31" s="197"/>
      <c r="EU31" s="196"/>
      <c r="EV31" s="196"/>
      <c r="EW31" s="196"/>
      <c r="EX31" s="196"/>
      <c r="EY31" s="196"/>
      <c r="EZ31" s="196"/>
      <c r="FA31" s="196"/>
      <c r="FB31" s="196"/>
      <c r="FC31" s="196"/>
      <c r="FD31" s="196"/>
      <c r="FE31" s="196"/>
      <c r="FF31" s="196"/>
      <c r="FG31" s="196"/>
      <c r="FH31" s="196"/>
      <c r="FI31" s="196"/>
      <c r="FJ31" s="196"/>
      <c r="FK31" s="196"/>
      <c r="FL31" s="196"/>
      <c r="FM31" s="196"/>
      <c r="FN31" s="196"/>
      <c r="FO31" s="196"/>
      <c r="FP31" s="196"/>
      <c r="FQ31" s="196"/>
      <c r="FR31" s="196"/>
      <c r="FS31" s="196"/>
      <c r="FX31" s="49" t="s">
        <v>33</v>
      </c>
      <c r="FY31" s="49" t="s">
        <v>33</v>
      </c>
      <c r="FZ31" s="49" t="s">
        <v>33</v>
      </c>
      <c r="GA31" s="49" t="s">
        <v>33</v>
      </c>
      <c r="GB31" s="49" t="s">
        <v>33</v>
      </c>
    </row>
    <row r="32" s="13" customFormat="true" ht="15.75" hidden="true" customHeight="true" outlineLevel="0" collapsed="false">
      <c r="A32" s="20" t="s">
        <v>124</v>
      </c>
      <c r="B32" s="196"/>
      <c r="C32" s="196"/>
      <c r="D32" s="196"/>
      <c r="E32" s="196"/>
      <c r="F32" s="196"/>
      <c r="G32" s="196"/>
      <c r="H32" s="196"/>
      <c r="I32" s="196"/>
      <c r="J32" s="196"/>
      <c r="K32" s="196"/>
      <c r="L32" s="196"/>
      <c r="M32" s="196"/>
      <c r="N32" s="196"/>
      <c r="O32" s="196"/>
      <c r="P32" s="196"/>
      <c r="Q32" s="196"/>
      <c r="R32" s="196"/>
      <c r="S32" s="196"/>
      <c r="T32" s="196"/>
      <c r="U32" s="196"/>
      <c r="V32" s="196"/>
      <c r="W32" s="196"/>
      <c r="X32" s="196"/>
      <c r="Y32" s="196"/>
      <c r="Z32" s="196"/>
      <c r="AA32" s="196"/>
      <c r="AB32" s="196"/>
      <c r="AC32" s="196"/>
      <c r="AD32" s="196"/>
      <c r="AE32" s="196"/>
      <c r="AF32" s="196"/>
      <c r="AG32" s="196"/>
      <c r="AH32" s="196"/>
      <c r="AI32" s="196"/>
      <c r="AJ32" s="196"/>
      <c r="AK32" s="196"/>
      <c r="AL32" s="196"/>
      <c r="AM32" s="196"/>
      <c r="AN32" s="196"/>
      <c r="AO32" s="196"/>
      <c r="AP32" s="196"/>
      <c r="AQ32" s="196"/>
      <c r="AR32" s="196"/>
      <c r="AS32" s="196"/>
      <c r="AT32" s="196"/>
      <c r="AU32" s="196"/>
      <c r="AV32" s="196"/>
      <c r="AW32" s="196"/>
      <c r="AX32" s="196"/>
      <c r="AY32" s="196"/>
      <c r="AZ32" s="196"/>
      <c r="BA32" s="196"/>
      <c r="BB32" s="196"/>
      <c r="BC32" s="196"/>
      <c r="BD32" s="196"/>
      <c r="BE32" s="196"/>
      <c r="BF32" s="196"/>
      <c r="BG32" s="196"/>
      <c r="BH32" s="196"/>
      <c r="BI32" s="196"/>
      <c r="BJ32" s="196"/>
      <c r="BK32" s="196"/>
      <c r="BL32" s="196"/>
      <c r="BM32" s="196"/>
      <c r="BN32" s="196"/>
      <c r="BO32" s="196"/>
      <c r="BP32" s="196"/>
      <c r="BQ32" s="196"/>
      <c r="BR32" s="196"/>
      <c r="BS32" s="196"/>
      <c r="BT32" s="196"/>
      <c r="BU32" s="196"/>
      <c r="BV32" s="196"/>
      <c r="BW32" s="196"/>
      <c r="BX32" s="196"/>
      <c r="BY32" s="196"/>
      <c r="BZ32" s="196"/>
      <c r="CA32" s="196"/>
      <c r="CB32" s="196"/>
      <c r="CC32" s="196"/>
      <c r="CD32" s="196"/>
      <c r="CE32" s="196"/>
      <c r="CF32" s="196"/>
      <c r="CG32" s="196"/>
      <c r="CH32" s="196"/>
      <c r="CI32" s="196"/>
      <c r="CJ32" s="196"/>
      <c r="CK32" s="196"/>
      <c r="CL32" s="196"/>
      <c r="CM32" s="196"/>
      <c r="CN32" s="196"/>
      <c r="CO32" s="196"/>
      <c r="CP32" s="196"/>
      <c r="CQ32" s="196"/>
      <c r="CR32" s="196"/>
      <c r="CS32" s="196"/>
      <c r="CT32" s="196"/>
      <c r="CU32" s="196"/>
      <c r="CV32" s="196"/>
      <c r="CW32" s="196"/>
      <c r="CX32" s="196"/>
      <c r="CY32" s="196"/>
      <c r="CZ32" s="196"/>
      <c r="DA32" s="196"/>
      <c r="DB32" s="196"/>
      <c r="DC32" s="196"/>
      <c r="DD32" s="196"/>
      <c r="DE32" s="196"/>
      <c r="DF32" s="196"/>
      <c r="DG32" s="196"/>
      <c r="DH32" s="196"/>
      <c r="DI32" s="196"/>
      <c r="DJ32" s="196"/>
      <c r="DK32" s="196"/>
      <c r="DL32" s="196"/>
      <c r="DM32" s="196"/>
      <c r="DN32" s="196"/>
      <c r="DO32" s="196"/>
      <c r="DP32" s="196"/>
      <c r="DQ32" s="196"/>
      <c r="DR32" s="196"/>
      <c r="DS32" s="196"/>
      <c r="DT32" s="196"/>
      <c r="DU32" s="196"/>
      <c r="DV32" s="196"/>
      <c r="DW32" s="196"/>
      <c r="DX32" s="196"/>
      <c r="DY32" s="196"/>
      <c r="DZ32" s="196"/>
      <c r="EA32" s="196"/>
      <c r="EB32" s="196"/>
      <c r="EC32" s="196"/>
      <c r="ED32" s="196"/>
      <c r="EE32" s="196"/>
      <c r="EF32" s="196"/>
      <c r="EG32" s="196"/>
      <c r="EH32" s="196"/>
      <c r="EI32" s="196"/>
      <c r="EJ32" s="196"/>
      <c r="EK32" s="196"/>
      <c r="EL32" s="196"/>
      <c r="EM32" s="196"/>
      <c r="EN32" s="196"/>
      <c r="EO32" s="196"/>
      <c r="EP32" s="196"/>
      <c r="EQ32" s="196"/>
      <c r="ER32" s="196"/>
      <c r="ES32" s="196"/>
      <c r="ET32" s="196"/>
      <c r="EU32" s="219"/>
      <c r="EV32" s="219"/>
      <c r="EW32" s="219"/>
      <c r="EX32" s="219"/>
      <c r="EY32" s="219"/>
      <c r="EZ32" s="219"/>
      <c r="FA32" s="219"/>
      <c r="FB32" s="219"/>
      <c r="FC32" s="219"/>
      <c r="FD32" s="219"/>
      <c r="FE32" s="219"/>
      <c r="FF32" s="219"/>
      <c r="FG32" s="219"/>
      <c r="FH32" s="219"/>
      <c r="FI32" s="219"/>
      <c r="FJ32" s="219"/>
      <c r="FK32" s="219"/>
      <c r="FL32" s="219"/>
      <c r="FM32" s="219"/>
      <c r="FN32" s="219"/>
      <c r="FO32" s="219"/>
      <c r="FP32" s="219"/>
      <c r="FQ32" s="219"/>
      <c r="FR32" s="219"/>
      <c r="FS32" s="219"/>
      <c r="FX32" s="49" t="s">
        <v>33</v>
      </c>
      <c r="FY32" s="49" t="s">
        <v>33</v>
      </c>
      <c r="FZ32" s="49" t="s">
        <v>33</v>
      </c>
      <c r="GA32" s="49" t="s">
        <v>33</v>
      </c>
      <c r="GB32" s="49" t="s">
        <v>33</v>
      </c>
    </row>
    <row r="33" s="13" customFormat="true" ht="15.75" hidden="true" customHeight="true" outlineLevel="0" collapsed="false">
      <c r="A33" s="20" t="s">
        <v>131</v>
      </c>
      <c r="B33" s="196"/>
      <c r="C33" s="196"/>
      <c r="D33" s="196"/>
      <c r="E33" s="196"/>
      <c r="F33" s="196"/>
      <c r="G33" s="196"/>
      <c r="H33" s="196"/>
      <c r="I33" s="196"/>
      <c r="J33" s="196"/>
      <c r="K33" s="196"/>
      <c r="L33" s="196"/>
      <c r="M33" s="196"/>
      <c r="N33" s="196"/>
      <c r="O33" s="196"/>
      <c r="P33" s="196"/>
      <c r="Q33" s="196"/>
      <c r="R33" s="196"/>
      <c r="S33" s="196"/>
      <c r="T33" s="196"/>
      <c r="U33" s="196"/>
      <c r="V33" s="196"/>
      <c r="W33" s="196"/>
      <c r="X33" s="196"/>
      <c r="Y33" s="196"/>
      <c r="Z33" s="196"/>
      <c r="AA33" s="196"/>
      <c r="AB33" s="196"/>
      <c r="AC33" s="196"/>
      <c r="AD33" s="196"/>
      <c r="AE33" s="196"/>
      <c r="AF33" s="196"/>
      <c r="AG33" s="196"/>
      <c r="AH33" s="196"/>
      <c r="AI33" s="196"/>
      <c r="AJ33" s="196"/>
      <c r="AK33" s="196"/>
      <c r="AL33" s="196"/>
      <c r="AM33" s="196"/>
      <c r="AN33" s="196"/>
      <c r="AO33" s="196"/>
      <c r="AP33" s="196"/>
      <c r="AQ33" s="196"/>
      <c r="AR33" s="196"/>
      <c r="AS33" s="196"/>
      <c r="AT33" s="196"/>
      <c r="AU33" s="196"/>
      <c r="AV33" s="196"/>
      <c r="AW33" s="196"/>
      <c r="AX33" s="196"/>
      <c r="AY33" s="196"/>
      <c r="AZ33" s="196"/>
      <c r="BA33" s="196"/>
      <c r="BB33" s="196"/>
      <c r="BC33" s="196"/>
      <c r="BD33" s="196"/>
      <c r="BE33" s="196"/>
      <c r="BF33" s="196"/>
      <c r="BG33" s="196"/>
      <c r="BH33" s="196"/>
      <c r="BI33" s="196"/>
      <c r="BJ33" s="196"/>
      <c r="BK33" s="196"/>
      <c r="BL33" s="196"/>
      <c r="BM33" s="196"/>
      <c r="BN33" s="196"/>
      <c r="BO33" s="196"/>
      <c r="BP33" s="196"/>
      <c r="BQ33" s="196"/>
      <c r="BR33" s="196"/>
      <c r="BS33" s="196"/>
      <c r="BT33" s="196"/>
      <c r="BU33" s="196"/>
      <c r="BV33" s="196"/>
      <c r="BW33" s="196"/>
      <c r="BX33" s="196"/>
      <c r="BY33" s="196"/>
      <c r="BZ33" s="196"/>
      <c r="CA33" s="196"/>
      <c r="CB33" s="196"/>
      <c r="CC33" s="196"/>
      <c r="CD33" s="196"/>
      <c r="CE33" s="196"/>
      <c r="CF33" s="196"/>
      <c r="CG33" s="196"/>
      <c r="CH33" s="196"/>
      <c r="CI33" s="196"/>
      <c r="CJ33" s="196"/>
      <c r="CK33" s="196"/>
      <c r="CL33" s="196"/>
      <c r="CM33" s="196"/>
      <c r="CN33" s="196"/>
      <c r="CO33" s="196"/>
      <c r="CP33" s="196"/>
      <c r="CQ33" s="196"/>
      <c r="CR33" s="196"/>
      <c r="CS33" s="196"/>
      <c r="CT33" s="196"/>
      <c r="CU33" s="196"/>
      <c r="CV33" s="196"/>
      <c r="CW33" s="196"/>
      <c r="CX33" s="196"/>
      <c r="CY33" s="196"/>
      <c r="CZ33" s="196"/>
      <c r="DA33" s="196"/>
      <c r="DB33" s="196"/>
      <c r="DC33" s="196"/>
      <c r="DD33" s="196"/>
      <c r="DE33" s="196"/>
      <c r="DF33" s="196"/>
      <c r="DG33" s="196"/>
      <c r="DH33" s="196"/>
      <c r="DI33" s="196"/>
      <c r="DJ33" s="196"/>
      <c r="DK33" s="196"/>
      <c r="DL33" s="196"/>
      <c r="DM33" s="196"/>
      <c r="DN33" s="196"/>
      <c r="DO33" s="196"/>
      <c r="DP33" s="196"/>
      <c r="DQ33" s="196"/>
      <c r="DR33" s="196"/>
      <c r="DS33" s="196"/>
      <c r="DT33" s="196"/>
      <c r="DU33" s="196"/>
      <c r="DV33" s="196"/>
      <c r="DW33" s="196"/>
      <c r="DX33" s="196"/>
      <c r="DY33" s="196"/>
      <c r="DZ33" s="196"/>
      <c r="EA33" s="196"/>
      <c r="EB33" s="196"/>
      <c r="EC33" s="196"/>
      <c r="ED33" s="196"/>
      <c r="EE33" s="196"/>
      <c r="EF33" s="196"/>
      <c r="EG33" s="196"/>
      <c r="EH33" s="196"/>
      <c r="EI33" s="196"/>
      <c r="EJ33" s="196"/>
      <c r="EK33" s="196"/>
      <c r="EL33" s="196"/>
      <c r="EM33" s="196"/>
      <c r="EN33" s="196"/>
      <c r="EO33" s="196"/>
      <c r="EP33" s="196"/>
      <c r="EQ33" s="196"/>
      <c r="ER33" s="196"/>
      <c r="ES33" s="196"/>
      <c r="ET33" s="196"/>
      <c r="EU33" s="196"/>
      <c r="EV33" s="196"/>
      <c r="EW33" s="196"/>
      <c r="EX33" s="196"/>
      <c r="EY33" s="196"/>
      <c r="EZ33" s="196"/>
      <c r="FA33" s="196"/>
      <c r="FB33" s="196"/>
      <c r="FC33" s="196"/>
      <c r="FD33" s="196"/>
      <c r="FE33" s="196"/>
      <c r="FF33" s="196"/>
      <c r="FG33" s="196"/>
      <c r="FH33" s="196"/>
      <c r="FI33" s="196"/>
      <c r="FJ33" s="196"/>
      <c r="FK33" s="196"/>
      <c r="FL33" s="196"/>
      <c r="FM33" s="196"/>
      <c r="FN33" s="196"/>
      <c r="FO33" s="196"/>
      <c r="FP33" s="196"/>
      <c r="FQ33" s="196"/>
      <c r="FR33" s="196"/>
      <c r="FS33" s="196"/>
      <c r="FX33" s="49" t="s">
        <v>33</v>
      </c>
      <c r="FY33" s="49" t="s">
        <v>33</v>
      </c>
      <c r="FZ33" s="49" t="s">
        <v>33</v>
      </c>
      <c r="GA33" s="49" t="s">
        <v>33</v>
      </c>
      <c r="GB33" s="49" t="s">
        <v>33</v>
      </c>
    </row>
    <row r="34" s="13" customFormat="true" ht="15.75" hidden="true" customHeight="true" outlineLevel="0" collapsed="false">
      <c r="A34" s="20" t="s">
        <v>134</v>
      </c>
      <c r="B34" s="196"/>
      <c r="C34" s="196"/>
      <c r="D34" s="196"/>
      <c r="E34" s="196"/>
      <c r="F34" s="196"/>
      <c r="G34" s="196"/>
      <c r="H34" s="196"/>
      <c r="I34" s="196"/>
      <c r="J34" s="196"/>
      <c r="K34" s="196"/>
      <c r="L34" s="196"/>
      <c r="M34" s="196"/>
      <c r="N34" s="196"/>
      <c r="O34" s="196"/>
      <c r="P34" s="196"/>
      <c r="Q34" s="196"/>
      <c r="R34" s="196"/>
      <c r="S34" s="196"/>
      <c r="T34" s="196"/>
      <c r="U34" s="196"/>
      <c r="V34" s="196"/>
      <c r="W34" s="196"/>
      <c r="X34" s="196"/>
      <c r="Y34" s="196"/>
      <c r="Z34" s="196"/>
      <c r="AA34" s="196"/>
      <c r="AB34" s="196"/>
      <c r="AC34" s="196"/>
      <c r="AD34" s="196"/>
      <c r="AE34" s="196"/>
      <c r="AF34" s="196"/>
      <c r="AG34" s="196"/>
      <c r="AH34" s="196"/>
      <c r="AI34" s="196"/>
      <c r="AJ34" s="196"/>
      <c r="AK34" s="196"/>
      <c r="AL34" s="196"/>
      <c r="AM34" s="196"/>
      <c r="AN34" s="196"/>
      <c r="AO34" s="196"/>
      <c r="AP34" s="196"/>
      <c r="AQ34" s="196"/>
      <c r="AR34" s="196"/>
      <c r="AS34" s="196"/>
      <c r="AT34" s="196"/>
      <c r="AU34" s="196"/>
      <c r="AV34" s="196"/>
      <c r="AW34" s="196"/>
      <c r="AX34" s="196"/>
      <c r="AY34" s="196"/>
      <c r="AZ34" s="196"/>
      <c r="BA34" s="196"/>
      <c r="BB34" s="196"/>
      <c r="BC34" s="196"/>
      <c r="BD34" s="196"/>
      <c r="BE34" s="196"/>
      <c r="BF34" s="196"/>
      <c r="BG34" s="196"/>
      <c r="BH34" s="196"/>
      <c r="BI34" s="196"/>
      <c r="BJ34" s="196"/>
      <c r="BK34" s="196"/>
      <c r="BL34" s="196"/>
      <c r="BM34" s="196"/>
      <c r="BN34" s="196"/>
      <c r="BO34" s="196"/>
      <c r="BP34" s="196"/>
      <c r="BQ34" s="196"/>
      <c r="BR34" s="196"/>
      <c r="BS34" s="196"/>
      <c r="BT34" s="196"/>
      <c r="BU34" s="196"/>
      <c r="BV34" s="196"/>
      <c r="BW34" s="196"/>
      <c r="BX34" s="196"/>
      <c r="BY34" s="196"/>
      <c r="BZ34" s="196"/>
      <c r="CA34" s="196"/>
      <c r="CB34" s="196"/>
      <c r="CC34" s="196"/>
      <c r="CD34" s="196"/>
      <c r="CE34" s="196"/>
      <c r="CF34" s="196"/>
      <c r="CG34" s="196"/>
      <c r="CH34" s="196"/>
      <c r="CI34" s="196"/>
      <c r="CJ34" s="196"/>
      <c r="CK34" s="196"/>
      <c r="CL34" s="196"/>
      <c r="CM34" s="196"/>
      <c r="CN34" s="196"/>
      <c r="CO34" s="196"/>
      <c r="CP34" s="196"/>
      <c r="CQ34" s="196"/>
      <c r="CR34" s="196"/>
      <c r="CS34" s="196"/>
      <c r="CT34" s="196"/>
      <c r="CU34" s="196"/>
      <c r="CV34" s="196"/>
      <c r="CW34" s="196"/>
      <c r="CX34" s="196"/>
      <c r="CY34" s="196"/>
      <c r="CZ34" s="196"/>
      <c r="DA34" s="196"/>
      <c r="DB34" s="196"/>
      <c r="DC34" s="196"/>
      <c r="DD34" s="196"/>
      <c r="DE34" s="196"/>
      <c r="DF34" s="196"/>
      <c r="DG34" s="196"/>
      <c r="DH34" s="196"/>
      <c r="DI34" s="196"/>
      <c r="DJ34" s="196"/>
      <c r="DK34" s="196"/>
      <c r="DL34" s="196"/>
      <c r="DM34" s="196"/>
      <c r="DN34" s="196"/>
      <c r="DO34" s="196"/>
      <c r="DP34" s="196"/>
      <c r="DQ34" s="196"/>
      <c r="DR34" s="196"/>
      <c r="DS34" s="196"/>
      <c r="DT34" s="196"/>
      <c r="DU34" s="196"/>
      <c r="DV34" s="196"/>
      <c r="DW34" s="196"/>
      <c r="DX34" s="196"/>
      <c r="DY34" s="196"/>
      <c r="DZ34" s="196"/>
      <c r="EA34" s="196"/>
      <c r="EB34" s="196"/>
      <c r="EC34" s="196"/>
      <c r="ED34" s="196"/>
      <c r="EE34" s="196"/>
      <c r="EF34" s="196"/>
      <c r="EG34" s="196"/>
      <c r="EH34" s="196"/>
      <c r="EI34" s="196"/>
      <c r="EJ34" s="196"/>
      <c r="EK34" s="196"/>
      <c r="EL34" s="196"/>
      <c r="EM34" s="196"/>
      <c r="EN34" s="196"/>
      <c r="EO34" s="196"/>
      <c r="EP34" s="196"/>
      <c r="EQ34" s="196"/>
      <c r="ER34" s="196"/>
      <c r="ES34" s="196"/>
      <c r="ET34" s="196"/>
      <c r="EU34" s="196"/>
      <c r="EV34" s="196"/>
      <c r="EW34" s="196"/>
      <c r="EX34" s="196"/>
      <c r="EY34" s="196"/>
      <c r="EZ34" s="196"/>
      <c r="FA34" s="196"/>
      <c r="FB34" s="196"/>
      <c r="FC34" s="196"/>
      <c r="FD34" s="196"/>
      <c r="FE34" s="196"/>
      <c r="FF34" s="196"/>
      <c r="FG34" s="196"/>
      <c r="FH34" s="196"/>
      <c r="FI34" s="196"/>
      <c r="FJ34" s="196"/>
      <c r="FK34" s="196"/>
      <c r="FL34" s="196"/>
      <c r="FM34" s="196"/>
      <c r="FN34" s="196"/>
      <c r="FO34" s="196"/>
      <c r="FP34" s="196"/>
      <c r="FQ34" s="196"/>
      <c r="FR34" s="196"/>
      <c r="FS34" s="196"/>
      <c r="FX34" s="49" t="s">
        <v>33</v>
      </c>
      <c r="FY34" s="49" t="s">
        <v>33</v>
      </c>
      <c r="FZ34" s="49" t="s">
        <v>33</v>
      </c>
      <c r="GA34" s="49" t="s">
        <v>33</v>
      </c>
      <c r="GB34" s="49" t="s">
        <v>33</v>
      </c>
    </row>
    <row r="35" s="13" customFormat="true" ht="15.75" hidden="true" customHeight="true" outlineLevel="0" collapsed="false">
      <c r="A35" s="20" t="s">
        <v>68</v>
      </c>
      <c r="B35" s="196"/>
      <c r="C35" s="196"/>
      <c r="D35" s="196"/>
      <c r="E35" s="196"/>
      <c r="F35" s="196"/>
      <c r="G35" s="196"/>
      <c r="H35" s="196"/>
      <c r="I35" s="196"/>
      <c r="J35" s="196"/>
      <c r="K35" s="196"/>
      <c r="L35" s="196"/>
      <c r="M35" s="196"/>
      <c r="N35" s="196"/>
      <c r="O35" s="196"/>
      <c r="P35" s="196"/>
      <c r="Q35" s="196"/>
      <c r="R35" s="196"/>
      <c r="S35" s="196"/>
      <c r="T35" s="196"/>
      <c r="U35" s="196"/>
      <c r="V35" s="196"/>
      <c r="W35" s="196"/>
      <c r="X35" s="196"/>
      <c r="Y35" s="196"/>
      <c r="Z35" s="196"/>
      <c r="AA35" s="196"/>
      <c r="AB35" s="196"/>
      <c r="AC35" s="196"/>
      <c r="AD35" s="196"/>
      <c r="AE35" s="196"/>
      <c r="AF35" s="196"/>
      <c r="AG35" s="196"/>
      <c r="AH35" s="196"/>
      <c r="AI35" s="196"/>
      <c r="AJ35" s="196"/>
      <c r="AK35" s="196"/>
      <c r="AL35" s="196"/>
      <c r="AM35" s="196"/>
      <c r="AN35" s="196"/>
      <c r="AO35" s="196"/>
      <c r="AP35" s="196"/>
      <c r="AQ35" s="196"/>
      <c r="AR35" s="196"/>
      <c r="AS35" s="196"/>
      <c r="AT35" s="196"/>
      <c r="AU35" s="196"/>
      <c r="AV35" s="196"/>
      <c r="AW35" s="196"/>
      <c r="AX35" s="196"/>
      <c r="AY35" s="196"/>
      <c r="AZ35" s="196"/>
      <c r="BA35" s="196"/>
      <c r="BB35" s="196"/>
      <c r="BC35" s="196"/>
      <c r="BD35" s="196"/>
      <c r="BE35" s="196"/>
      <c r="BF35" s="196"/>
      <c r="BG35" s="196"/>
      <c r="BH35" s="196"/>
      <c r="BI35" s="196"/>
      <c r="BJ35" s="196"/>
      <c r="BK35" s="196"/>
      <c r="BL35" s="196"/>
      <c r="BM35" s="196"/>
      <c r="BN35" s="196"/>
      <c r="BO35" s="196"/>
      <c r="BP35" s="196"/>
      <c r="BQ35" s="196"/>
      <c r="BR35" s="196"/>
      <c r="BS35" s="196"/>
      <c r="BT35" s="196"/>
      <c r="BU35" s="196"/>
      <c r="BV35" s="196"/>
      <c r="BW35" s="196"/>
      <c r="BX35" s="196"/>
      <c r="BY35" s="196"/>
      <c r="BZ35" s="196"/>
      <c r="CA35" s="196"/>
      <c r="CB35" s="196"/>
      <c r="CC35" s="196"/>
      <c r="CD35" s="196"/>
      <c r="CE35" s="196"/>
      <c r="CF35" s="196"/>
      <c r="CG35" s="196"/>
      <c r="CH35" s="196"/>
      <c r="CI35" s="196"/>
      <c r="CJ35" s="196"/>
      <c r="CK35" s="196"/>
      <c r="CL35" s="196"/>
      <c r="CM35" s="196"/>
      <c r="CN35" s="196"/>
      <c r="CO35" s="196"/>
      <c r="CP35" s="196"/>
      <c r="CQ35" s="196"/>
      <c r="CR35" s="196"/>
      <c r="CS35" s="196"/>
      <c r="CT35" s="196"/>
      <c r="CU35" s="196"/>
      <c r="CV35" s="196"/>
      <c r="CW35" s="196"/>
      <c r="CX35" s="196"/>
      <c r="CY35" s="196"/>
      <c r="CZ35" s="196"/>
      <c r="DA35" s="196"/>
      <c r="DB35" s="196"/>
      <c r="DC35" s="196"/>
      <c r="DD35" s="196"/>
      <c r="DE35" s="196"/>
      <c r="DF35" s="196"/>
      <c r="DG35" s="196"/>
      <c r="DH35" s="196"/>
      <c r="DI35" s="196"/>
      <c r="DJ35" s="196"/>
      <c r="DK35" s="196"/>
      <c r="DL35" s="196"/>
      <c r="DM35" s="196"/>
      <c r="DN35" s="196"/>
      <c r="DO35" s="196"/>
      <c r="DP35" s="196"/>
      <c r="DQ35" s="196"/>
      <c r="DR35" s="196"/>
      <c r="DS35" s="196"/>
      <c r="DT35" s="196"/>
      <c r="DU35" s="196"/>
      <c r="DV35" s="196"/>
      <c r="DW35" s="196"/>
      <c r="DX35" s="196"/>
      <c r="DY35" s="196"/>
      <c r="DZ35" s="196"/>
      <c r="EA35" s="196"/>
      <c r="EB35" s="196"/>
      <c r="EC35" s="196"/>
      <c r="ED35" s="196"/>
      <c r="EE35" s="196"/>
      <c r="EF35" s="196"/>
      <c r="EG35" s="196"/>
      <c r="EH35" s="196"/>
      <c r="EI35" s="196"/>
      <c r="EJ35" s="196"/>
      <c r="EK35" s="196"/>
      <c r="EL35" s="196"/>
      <c r="EM35" s="196"/>
      <c r="EN35" s="196"/>
      <c r="EO35" s="196"/>
      <c r="EP35" s="196"/>
      <c r="EQ35" s="196"/>
      <c r="ER35" s="196"/>
      <c r="ES35" s="196"/>
      <c r="ET35" s="196"/>
      <c r="EU35" s="196"/>
      <c r="EV35" s="196"/>
      <c r="EW35" s="196"/>
      <c r="EX35" s="196"/>
      <c r="EY35" s="196"/>
      <c r="EZ35" s="196"/>
      <c r="FA35" s="196"/>
      <c r="FB35" s="196"/>
      <c r="FC35" s="196"/>
      <c r="FD35" s="196"/>
      <c r="FE35" s="196"/>
      <c r="FF35" s="196"/>
      <c r="FG35" s="196"/>
      <c r="FH35" s="196"/>
      <c r="FI35" s="196"/>
      <c r="FJ35" s="196"/>
      <c r="FK35" s="196"/>
      <c r="FL35" s="196"/>
      <c r="FM35" s="196"/>
      <c r="FN35" s="196"/>
      <c r="FO35" s="196"/>
      <c r="FP35" s="196"/>
      <c r="FQ35" s="196"/>
      <c r="FR35" s="196"/>
      <c r="FS35" s="196"/>
      <c r="FX35" s="49" t="s">
        <v>33</v>
      </c>
      <c r="FY35" s="49" t="s">
        <v>33</v>
      </c>
      <c r="FZ35" s="49" t="s">
        <v>33</v>
      </c>
      <c r="GA35" s="49" t="s">
        <v>33</v>
      </c>
      <c r="GB35" s="49" t="s">
        <v>33</v>
      </c>
    </row>
    <row r="36" s="13" customFormat="true" ht="15.75" hidden="false" customHeight="true" outlineLevel="0" collapsed="false">
      <c r="A36" s="20" t="s">
        <v>207</v>
      </c>
      <c r="B36" s="196"/>
      <c r="C36" s="196"/>
      <c r="D36" s="196"/>
      <c r="E36" s="196"/>
      <c r="F36" s="196"/>
      <c r="G36" s="196"/>
      <c r="H36" s="196"/>
      <c r="I36" s="196"/>
      <c r="J36" s="196"/>
      <c r="K36" s="196"/>
      <c r="L36" s="196"/>
      <c r="M36" s="196"/>
      <c r="N36" s="196"/>
      <c r="O36" s="196"/>
      <c r="P36" s="196"/>
      <c r="Q36" s="196"/>
      <c r="R36" s="196"/>
      <c r="S36" s="196"/>
      <c r="T36" s="196"/>
      <c r="U36" s="196"/>
      <c r="V36" s="196"/>
      <c r="W36" s="196"/>
      <c r="X36" s="196"/>
      <c r="Y36" s="196"/>
      <c r="Z36" s="196"/>
      <c r="AA36" s="196"/>
      <c r="AB36" s="196"/>
      <c r="AC36" s="196"/>
      <c r="AD36" s="196"/>
      <c r="AE36" s="196"/>
      <c r="AF36" s="196"/>
      <c r="AG36" s="196"/>
      <c r="AH36" s="196"/>
      <c r="AI36" s="196"/>
      <c r="AJ36" s="196"/>
      <c r="AK36" s="196"/>
      <c r="AL36" s="196"/>
      <c r="AM36" s="196"/>
      <c r="AN36" s="196"/>
      <c r="AO36" s="196"/>
      <c r="AP36" s="196"/>
      <c r="AQ36" s="196"/>
      <c r="AR36" s="196"/>
      <c r="AS36" s="196"/>
      <c r="AT36" s="196"/>
      <c r="AU36" s="196"/>
      <c r="AV36" s="196"/>
      <c r="AW36" s="196"/>
      <c r="AX36" s="196"/>
      <c r="AY36" s="196"/>
      <c r="AZ36" s="196"/>
      <c r="BA36" s="196"/>
      <c r="BB36" s="196"/>
      <c r="BC36" s="196"/>
      <c r="BD36" s="196"/>
      <c r="BE36" s="196"/>
      <c r="BF36" s="196"/>
      <c r="BG36" s="196"/>
      <c r="BH36" s="196"/>
      <c r="BI36" s="196"/>
      <c r="BJ36" s="196"/>
      <c r="BK36" s="196"/>
      <c r="BL36" s="196"/>
      <c r="BM36" s="196"/>
      <c r="BN36" s="196"/>
      <c r="BO36" s="196"/>
      <c r="BP36" s="196"/>
      <c r="BQ36" s="196"/>
      <c r="BR36" s="196"/>
      <c r="BS36" s="196"/>
      <c r="BT36" s="196"/>
      <c r="BU36" s="196"/>
      <c r="BV36" s="196"/>
      <c r="BW36" s="196"/>
      <c r="BX36" s="196"/>
      <c r="BY36" s="196"/>
      <c r="BZ36" s="196"/>
      <c r="CA36" s="196"/>
      <c r="CB36" s="196"/>
      <c r="CC36" s="196"/>
      <c r="CD36" s="196"/>
      <c r="CE36" s="196"/>
      <c r="CF36" s="196"/>
      <c r="CG36" s="196"/>
      <c r="CH36" s="196"/>
      <c r="CI36" s="196"/>
      <c r="CJ36" s="196"/>
      <c r="CK36" s="196"/>
      <c r="CL36" s="196"/>
      <c r="CM36" s="196"/>
      <c r="CN36" s="196"/>
      <c r="CO36" s="196"/>
      <c r="CP36" s="196"/>
      <c r="CQ36" s="196"/>
      <c r="CR36" s="196"/>
      <c r="CS36" s="196"/>
      <c r="CT36" s="196"/>
      <c r="CU36" s="196"/>
      <c r="CV36" s="196"/>
      <c r="CW36" s="196"/>
      <c r="CX36" s="196"/>
      <c r="CY36" s="196"/>
      <c r="CZ36" s="196"/>
      <c r="DA36" s="196"/>
      <c r="DB36" s="196"/>
      <c r="DC36" s="196"/>
      <c r="DD36" s="196"/>
      <c r="DE36" s="196"/>
      <c r="DF36" s="196"/>
      <c r="DG36" s="196"/>
      <c r="DH36" s="196"/>
      <c r="DI36" s="196"/>
      <c r="DJ36" s="196"/>
      <c r="DK36" s="196"/>
      <c r="DL36" s="49" t="s">
        <v>33</v>
      </c>
      <c r="DM36" s="49" t="s">
        <v>33</v>
      </c>
      <c r="DN36" s="49" t="s">
        <v>33</v>
      </c>
      <c r="DO36" s="49" t="s">
        <v>33</v>
      </c>
      <c r="DP36" s="49" t="s">
        <v>33</v>
      </c>
      <c r="DQ36" s="49" t="s">
        <v>33</v>
      </c>
      <c r="DR36" s="49" t="s">
        <v>33</v>
      </c>
      <c r="DS36" s="49" t="s">
        <v>33</v>
      </c>
      <c r="DT36" s="49" t="s">
        <v>33</v>
      </c>
      <c r="DU36" s="49" t="s">
        <v>33</v>
      </c>
      <c r="DV36" s="49" t="s">
        <v>33</v>
      </c>
      <c r="DW36" s="49" t="s">
        <v>33</v>
      </c>
      <c r="DX36" s="49" t="s">
        <v>33</v>
      </c>
      <c r="DY36" s="49" t="s">
        <v>33</v>
      </c>
      <c r="DZ36" s="49" t="s">
        <v>33</v>
      </c>
      <c r="EA36" s="49" t="s">
        <v>33</v>
      </c>
      <c r="EB36" s="49" t="s">
        <v>33</v>
      </c>
      <c r="EC36" s="49" t="s">
        <v>33</v>
      </c>
      <c r="ED36" s="49" t="s">
        <v>33</v>
      </c>
      <c r="EE36" s="49" t="s">
        <v>33</v>
      </c>
      <c r="EF36" s="49" t="s">
        <v>33</v>
      </c>
      <c r="EG36" s="49" t="s">
        <v>33</v>
      </c>
      <c r="EH36" s="49" t="s">
        <v>33</v>
      </c>
      <c r="EI36" s="49" t="s">
        <v>33</v>
      </c>
      <c r="EJ36" s="49" t="s">
        <v>33</v>
      </c>
      <c r="EK36" s="49" t="s">
        <v>33</v>
      </c>
      <c r="EL36" s="49" t="s">
        <v>33</v>
      </c>
      <c r="EM36" s="49" t="s">
        <v>33</v>
      </c>
      <c r="EN36" s="49" t="s">
        <v>33</v>
      </c>
      <c r="EO36" s="49" t="s">
        <v>33</v>
      </c>
      <c r="EP36" s="49" t="s">
        <v>33</v>
      </c>
      <c r="EQ36" s="49" t="s">
        <v>33</v>
      </c>
      <c r="ER36" s="49" t="s">
        <v>33</v>
      </c>
      <c r="ES36" s="49" t="s">
        <v>33</v>
      </c>
      <c r="ET36" s="49" t="s">
        <v>33</v>
      </c>
      <c r="EU36" s="49" t="s">
        <v>33</v>
      </c>
      <c r="EV36" s="49" t="s">
        <v>33</v>
      </c>
      <c r="EW36" s="49" t="s">
        <v>33</v>
      </c>
      <c r="EX36" s="49" t="s">
        <v>33</v>
      </c>
      <c r="EY36" s="49" t="s">
        <v>33</v>
      </c>
      <c r="EZ36" s="49" t="s">
        <v>33</v>
      </c>
      <c r="FA36" s="49" t="s">
        <v>33</v>
      </c>
      <c r="FB36" s="49" t="s">
        <v>33</v>
      </c>
      <c r="FC36" s="49" t="s">
        <v>33</v>
      </c>
      <c r="FD36" s="49" t="s">
        <v>33</v>
      </c>
      <c r="FE36" s="13" t="s">
        <v>33</v>
      </c>
      <c r="FF36" s="13" t="s">
        <v>33</v>
      </c>
      <c r="FG36" s="13" t="s">
        <v>33</v>
      </c>
      <c r="FH36" s="13" t="s">
        <v>33</v>
      </c>
      <c r="FI36" s="49" t="s">
        <v>33</v>
      </c>
      <c r="FJ36" s="49" t="s">
        <v>33</v>
      </c>
      <c r="FK36" s="49" t="s">
        <v>33</v>
      </c>
      <c r="FL36" s="49" t="s">
        <v>33</v>
      </c>
      <c r="FM36" s="49" t="s">
        <v>33</v>
      </c>
      <c r="FN36" s="49" t="s">
        <v>33</v>
      </c>
      <c r="FO36" s="49" t="s">
        <v>33</v>
      </c>
      <c r="FP36" s="49" t="s">
        <v>33</v>
      </c>
      <c r="FQ36" s="49" t="s">
        <v>33</v>
      </c>
      <c r="FR36" s="49" t="s">
        <v>33</v>
      </c>
      <c r="FS36" s="49" t="s">
        <v>33</v>
      </c>
      <c r="FT36" s="49" t="s">
        <v>33</v>
      </c>
      <c r="FU36" s="49" t="s">
        <v>33</v>
      </c>
      <c r="FV36" s="49" t="s">
        <v>33</v>
      </c>
      <c r="FW36" s="49" t="s">
        <v>33</v>
      </c>
      <c r="FX36" s="49" t="s">
        <v>33</v>
      </c>
      <c r="FY36" s="49" t="s">
        <v>33</v>
      </c>
      <c r="FZ36" s="49" t="s">
        <v>33</v>
      </c>
      <c r="GA36" s="49" t="s">
        <v>33</v>
      </c>
      <c r="GB36" s="49" t="s">
        <v>33</v>
      </c>
      <c r="GC36" s="49" t="s">
        <v>33</v>
      </c>
      <c r="GD36" s="13" t="s">
        <v>33</v>
      </c>
      <c r="GE36" s="13" t="s">
        <v>33</v>
      </c>
      <c r="GF36" s="13" t="s">
        <v>33</v>
      </c>
      <c r="GG36" s="13" t="s">
        <v>33</v>
      </c>
      <c r="GH36" s="13" t="s">
        <v>33</v>
      </c>
      <c r="GI36" s="13" t="s">
        <v>33</v>
      </c>
      <c r="GJ36" s="13" t="s">
        <v>33</v>
      </c>
    </row>
    <row r="37" s="13" customFormat="true" ht="15.75" hidden="false" customHeight="true" outlineLevel="0" collapsed="false">
      <c r="A37" s="20" t="s">
        <v>210</v>
      </c>
      <c r="B37" s="196"/>
      <c r="C37" s="196"/>
      <c r="D37" s="196"/>
      <c r="E37" s="196"/>
      <c r="F37" s="196"/>
      <c r="G37" s="196"/>
      <c r="H37" s="196"/>
      <c r="I37" s="196"/>
      <c r="J37" s="196"/>
      <c r="K37" s="196"/>
      <c r="L37" s="196"/>
      <c r="M37" s="196"/>
      <c r="N37" s="196"/>
      <c r="O37" s="196"/>
      <c r="P37" s="196"/>
      <c r="Q37" s="196"/>
      <c r="R37" s="196"/>
      <c r="S37" s="196"/>
      <c r="T37" s="196"/>
      <c r="U37" s="196"/>
      <c r="V37" s="196"/>
      <c r="W37" s="196"/>
      <c r="X37" s="196"/>
      <c r="Y37" s="196"/>
      <c r="Z37" s="196"/>
      <c r="AA37" s="196"/>
      <c r="AB37" s="196"/>
      <c r="AC37" s="196"/>
      <c r="AD37" s="196"/>
      <c r="AE37" s="196"/>
      <c r="AF37" s="196"/>
      <c r="AG37" s="196"/>
      <c r="AH37" s="196"/>
      <c r="AI37" s="196"/>
      <c r="AJ37" s="196"/>
      <c r="AK37" s="196"/>
      <c r="AL37" s="196"/>
      <c r="AM37" s="196"/>
      <c r="AN37" s="196"/>
      <c r="AO37" s="196"/>
      <c r="AP37" s="196"/>
      <c r="AQ37" s="196"/>
      <c r="AR37" s="196"/>
      <c r="AS37" s="196"/>
      <c r="AT37" s="196"/>
      <c r="AU37" s="196"/>
      <c r="AV37" s="196"/>
      <c r="AW37" s="196"/>
      <c r="AX37" s="196"/>
      <c r="AY37" s="196"/>
      <c r="AZ37" s="196"/>
      <c r="BA37" s="196"/>
      <c r="BB37" s="196"/>
      <c r="BC37" s="196"/>
      <c r="BD37" s="196"/>
      <c r="BE37" s="196"/>
      <c r="BF37" s="196"/>
      <c r="BG37" s="196"/>
      <c r="BH37" s="196"/>
      <c r="BI37" s="196"/>
      <c r="BJ37" s="196"/>
      <c r="BK37" s="196"/>
      <c r="BL37" s="196"/>
      <c r="BM37" s="196"/>
      <c r="BN37" s="196"/>
      <c r="BO37" s="196"/>
      <c r="BP37" s="196"/>
      <c r="BQ37" s="196"/>
      <c r="BR37" s="196"/>
      <c r="BS37" s="196"/>
      <c r="BT37" s="196"/>
      <c r="BU37" s="196"/>
      <c r="BV37" s="196"/>
      <c r="BW37" s="196"/>
      <c r="BX37" s="196"/>
      <c r="BY37" s="196"/>
      <c r="BZ37" s="196"/>
      <c r="CA37" s="196"/>
      <c r="CB37" s="196"/>
      <c r="CC37" s="196"/>
      <c r="CD37" s="196"/>
      <c r="CE37" s="196"/>
      <c r="CF37" s="196"/>
      <c r="CG37" s="196"/>
      <c r="CH37" s="196"/>
      <c r="CI37" s="196"/>
      <c r="CJ37" s="196"/>
      <c r="CK37" s="196"/>
      <c r="CL37" s="196"/>
      <c r="CM37" s="196"/>
      <c r="CN37" s="196"/>
      <c r="CO37" s="196"/>
      <c r="CP37" s="196"/>
      <c r="CQ37" s="196"/>
      <c r="CR37" s="196"/>
      <c r="CS37" s="196"/>
      <c r="CT37" s="196"/>
      <c r="CU37" s="196"/>
      <c r="CV37" s="196"/>
      <c r="CW37" s="196"/>
      <c r="CX37" s="196"/>
      <c r="CY37" s="196"/>
      <c r="CZ37" s="196"/>
      <c r="DA37" s="196"/>
      <c r="DB37" s="196"/>
      <c r="DC37" s="196"/>
      <c r="DD37" s="196"/>
      <c r="DE37" s="196"/>
      <c r="DF37" s="196"/>
      <c r="DG37" s="196"/>
      <c r="DH37" s="196"/>
      <c r="DI37" s="196"/>
      <c r="DJ37" s="196"/>
      <c r="DK37" s="196"/>
      <c r="DL37" s="196"/>
      <c r="DM37" s="196"/>
      <c r="DN37" s="49" t="s">
        <v>33</v>
      </c>
      <c r="DO37" s="49" t="s">
        <v>33</v>
      </c>
      <c r="DP37" s="49" t="s">
        <v>33</v>
      </c>
      <c r="DQ37" s="49" t="s">
        <v>33</v>
      </c>
      <c r="DR37" s="49" t="s">
        <v>33</v>
      </c>
      <c r="DS37" s="49" t="s">
        <v>33</v>
      </c>
      <c r="DT37" s="49" t="s">
        <v>33</v>
      </c>
      <c r="DU37" s="49" t="s">
        <v>33</v>
      </c>
      <c r="DV37" s="49" t="s">
        <v>33</v>
      </c>
      <c r="DW37" s="49" t="s">
        <v>33</v>
      </c>
      <c r="DX37" s="49" t="s">
        <v>41</v>
      </c>
      <c r="DY37" s="49" t="s">
        <v>33</v>
      </c>
      <c r="DZ37" s="49" t="s">
        <v>47</v>
      </c>
      <c r="EA37" s="49" t="s">
        <v>47</v>
      </c>
      <c r="EB37" s="49" t="s">
        <v>47</v>
      </c>
      <c r="EC37" s="49" t="s">
        <v>47</v>
      </c>
      <c r="ED37" s="49" t="s">
        <v>47</v>
      </c>
      <c r="EE37" s="49" t="s">
        <v>47</v>
      </c>
      <c r="EF37" s="49" t="s">
        <v>47</v>
      </c>
      <c r="EG37" s="49" t="s">
        <v>47</v>
      </c>
      <c r="EH37" s="49" t="s">
        <v>47</v>
      </c>
      <c r="EI37" s="49" t="s">
        <v>47</v>
      </c>
      <c r="EJ37" s="49" t="s">
        <v>47</v>
      </c>
      <c r="EK37" s="49" t="s">
        <v>47</v>
      </c>
      <c r="EL37" s="49" t="s">
        <v>47</v>
      </c>
      <c r="EM37" s="49" t="s">
        <v>47</v>
      </c>
      <c r="EN37" s="49" t="s">
        <v>47</v>
      </c>
      <c r="EO37" s="49" t="s">
        <v>47</v>
      </c>
      <c r="EP37" s="49" t="s">
        <v>47</v>
      </c>
      <c r="EQ37" s="49" t="s">
        <v>47</v>
      </c>
      <c r="ER37" s="49" t="s">
        <v>47</v>
      </c>
      <c r="ES37" s="49" t="s">
        <v>47</v>
      </c>
      <c r="ET37" s="49" t="s">
        <v>47</v>
      </c>
      <c r="EU37" s="49" t="s">
        <v>47</v>
      </c>
      <c r="EV37" s="49" t="s">
        <v>47</v>
      </c>
      <c r="EW37" s="49" t="s">
        <v>47</v>
      </c>
      <c r="EX37" s="49" t="s">
        <v>47</v>
      </c>
      <c r="EY37" s="49" t="s">
        <v>47</v>
      </c>
      <c r="EZ37" s="49" t="s">
        <v>47</v>
      </c>
      <c r="FA37" s="49" t="s">
        <v>47</v>
      </c>
      <c r="FB37" s="49" t="s">
        <v>47</v>
      </c>
      <c r="FC37" s="49" t="s">
        <v>33</v>
      </c>
      <c r="FD37" s="49" t="s">
        <v>33</v>
      </c>
      <c r="FE37" s="49" t="s">
        <v>33</v>
      </c>
      <c r="FF37" s="49" t="s">
        <v>33</v>
      </c>
      <c r="FG37" s="49" t="s">
        <v>33</v>
      </c>
      <c r="FH37" s="49" t="s">
        <v>33</v>
      </c>
      <c r="FI37" s="49" t="s">
        <v>33</v>
      </c>
      <c r="FJ37" s="49" t="s">
        <v>33</v>
      </c>
      <c r="FK37" s="49" t="s">
        <v>33</v>
      </c>
      <c r="FL37" s="49" t="s">
        <v>33</v>
      </c>
      <c r="FM37" s="49" t="s">
        <v>33</v>
      </c>
      <c r="FN37" s="49" t="s">
        <v>33</v>
      </c>
      <c r="FO37" s="49" t="s">
        <v>33</v>
      </c>
      <c r="FP37" s="49" t="s">
        <v>33</v>
      </c>
      <c r="FQ37" s="49" t="s">
        <v>33</v>
      </c>
      <c r="FR37" s="49" t="s">
        <v>33</v>
      </c>
      <c r="FS37" s="49" t="s">
        <v>33</v>
      </c>
      <c r="FT37" s="49" t="s">
        <v>33</v>
      </c>
      <c r="FU37" s="49" t="s">
        <v>33</v>
      </c>
      <c r="FV37" s="49" t="s">
        <v>33</v>
      </c>
      <c r="FW37" s="49" t="s">
        <v>33</v>
      </c>
      <c r="FX37" s="49" t="s">
        <v>33</v>
      </c>
      <c r="FY37" s="49" t="s">
        <v>33</v>
      </c>
      <c r="FZ37" s="49" t="s">
        <v>33</v>
      </c>
      <c r="GA37" s="49" t="s">
        <v>33</v>
      </c>
      <c r="GB37" s="49" t="s">
        <v>33</v>
      </c>
      <c r="GC37" s="49" t="s">
        <v>33</v>
      </c>
      <c r="GD37" s="13" t="s">
        <v>33</v>
      </c>
      <c r="GE37" s="13" t="s">
        <v>33</v>
      </c>
      <c r="GF37" s="13" t="s">
        <v>33</v>
      </c>
      <c r="GG37" s="13" t="s">
        <v>33</v>
      </c>
      <c r="GH37" s="13" t="s">
        <v>33</v>
      </c>
      <c r="GI37" s="13" t="s">
        <v>33</v>
      </c>
      <c r="GJ37" s="13" t="s">
        <v>33</v>
      </c>
    </row>
    <row r="38" s="13" customFormat="true" ht="15.75" hidden="false" customHeight="true" outlineLevel="0" collapsed="false">
      <c r="A38" s="20" t="s">
        <v>213</v>
      </c>
      <c r="B38" s="196"/>
      <c r="C38" s="196"/>
      <c r="D38" s="196"/>
      <c r="E38" s="196"/>
      <c r="F38" s="196"/>
      <c r="G38" s="196"/>
      <c r="H38" s="196"/>
      <c r="I38" s="196"/>
      <c r="J38" s="196"/>
      <c r="K38" s="196"/>
      <c r="L38" s="196"/>
      <c r="M38" s="196"/>
      <c r="N38" s="196"/>
      <c r="O38" s="196"/>
      <c r="P38" s="196"/>
      <c r="Q38" s="196"/>
      <c r="R38" s="196"/>
      <c r="S38" s="196"/>
      <c r="T38" s="196"/>
      <c r="U38" s="196"/>
      <c r="V38" s="196"/>
      <c r="W38" s="196"/>
      <c r="X38" s="196"/>
      <c r="Y38" s="196"/>
      <c r="Z38" s="196"/>
      <c r="AA38" s="196"/>
      <c r="AB38" s="196"/>
      <c r="AC38" s="196"/>
      <c r="AD38" s="196"/>
      <c r="AE38" s="196"/>
      <c r="AF38" s="196"/>
      <c r="AG38" s="196"/>
      <c r="AH38" s="196"/>
      <c r="AI38" s="196"/>
      <c r="AJ38" s="196"/>
      <c r="AK38" s="196"/>
      <c r="AL38" s="196"/>
      <c r="AM38" s="196"/>
      <c r="AN38" s="196"/>
      <c r="AO38" s="196"/>
      <c r="AP38" s="196"/>
      <c r="AQ38" s="196"/>
      <c r="AR38" s="196"/>
      <c r="AS38" s="196"/>
      <c r="AT38" s="196"/>
      <c r="AU38" s="196"/>
      <c r="AV38" s="196"/>
      <c r="AW38" s="196"/>
      <c r="AX38" s="196"/>
      <c r="AY38" s="196"/>
      <c r="AZ38" s="196"/>
      <c r="BA38" s="196"/>
      <c r="BB38" s="196"/>
      <c r="BC38" s="196"/>
      <c r="BD38" s="196"/>
      <c r="BE38" s="196"/>
      <c r="BF38" s="196"/>
      <c r="BG38" s="196"/>
      <c r="BH38" s="196"/>
      <c r="BI38" s="196"/>
      <c r="BJ38" s="196"/>
      <c r="BK38" s="196"/>
      <c r="BL38" s="196"/>
      <c r="BM38" s="196"/>
      <c r="BN38" s="196"/>
      <c r="BO38" s="196"/>
      <c r="BP38" s="196"/>
      <c r="BQ38" s="196"/>
      <c r="BR38" s="196"/>
      <c r="BS38" s="196"/>
      <c r="BT38" s="196"/>
      <c r="BU38" s="196"/>
      <c r="BV38" s="196"/>
      <c r="BW38" s="196"/>
      <c r="BX38" s="196"/>
      <c r="BY38" s="196"/>
      <c r="BZ38" s="196"/>
      <c r="CA38" s="196"/>
      <c r="CB38" s="196"/>
      <c r="CC38" s="196"/>
      <c r="CD38" s="196"/>
      <c r="CE38" s="196"/>
      <c r="CF38" s="196"/>
      <c r="CG38" s="196"/>
      <c r="CH38" s="196"/>
      <c r="CI38" s="196"/>
      <c r="CJ38" s="196"/>
      <c r="CK38" s="196"/>
      <c r="CL38" s="196"/>
      <c r="CM38" s="196"/>
      <c r="CN38" s="196"/>
      <c r="CO38" s="196"/>
      <c r="CP38" s="196"/>
      <c r="CQ38" s="196"/>
      <c r="CR38" s="196"/>
      <c r="CS38" s="196"/>
      <c r="CT38" s="196"/>
      <c r="CU38" s="196"/>
      <c r="CV38" s="196"/>
      <c r="CW38" s="196"/>
      <c r="CX38" s="196"/>
      <c r="CY38" s="196"/>
      <c r="CZ38" s="196"/>
      <c r="DA38" s="196"/>
      <c r="DB38" s="196"/>
      <c r="DC38" s="196"/>
      <c r="DD38" s="196"/>
      <c r="DE38" s="196"/>
      <c r="DF38" s="196"/>
      <c r="DG38" s="196"/>
      <c r="DH38" s="196"/>
      <c r="DI38" s="196"/>
      <c r="DJ38" s="196"/>
      <c r="DK38" s="196"/>
      <c r="DL38" s="196"/>
      <c r="DM38" s="196"/>
      <c r="DN38" s="196"/>
      <c r="DO38" s="196"/>
      <c r="DP38" s="196"/>
      <c r="DQ38" s="196"/>
      <c r="DR38" s="196"/>
      <c r="DS38" s="196"/>
      <c r="DT38" s="196"/>
      <c r="DU38" s="196"/>
      <c r="DV38" s="196"/>
      <c r="DW38" s="196"/>
      <c r="DX38" s="196"/>
      <c r="DY38" s="196"/>
      <c r="DZ38" s="49" t="s">
        <v>33</v>
      </c>
      <c r="EA38" s="49" t="s">
        <v>33</v>
      </c>
      <c r="EB38" s="49" t="s">
        <v>33</v>
      </c>
      <c r="EC38" s="49" t="s">
        <v>33</v>
      </c>
      <c r="ED38" s="49" t="s">
        <v>33</v>
      </c>
      <c r="EE38" s="49" t="s">
        <v>33</v>
      </c>
      <c r="EF38" s="49" t="s">
        <v>33</v>
      </c>
      <c r="EG38" s="49" t="s">
        <v>33</v>
      </c>
      <c r="EH38" s="49" t="s">
        <v>33</v>
      </c>
      <c r="EI38" s="49" t="s">
        <v>41</v>
      </c>
      <c r="EJ38" s="49" t="s">
        <v>41</v>
      </c>
      <c r="EK38" s="49" t="s">
        <v>41</v>
      </c>
      <c r="EL38" s="49" t="s">
        <v>41</v>
      </c>
      <c r="EM38" s="49" t="s">
        <v>41</v>
      </c>
      <c r="EN38" s="49" t="s">
        <v>41</v>
      </c>
      <c r="EO38" s="49" t="s">
        <v>41</v>
      </c>
      <c r="EP38" s="49" t="s">
        <v>41</v>
      </c>
      <c r="EQ38" s="49" t="s">
        <v>41</v>
      </c>
      <c r="ER38" s="49" t="s">
        <v>41</v>
      </c>
      <c r="ES38" s="49" t="s">
        <v>41</v>
      </c>
      <c r="ET38" s="49" t="s">
        <v>41</v>
      </c>
      <c r="EU38" s="49" t="s">
        <v>41</v>
      </c>
      <c r="EV38" s="49" t="s">
        <v>37</v>
      </c>
      <c r="EW38" s="49" t="s">
        <v>37</v>
      </c>
      <c r="EX38" s="49" t="s">
        <v>41</v>
      </c>
      <c r="EY38" s="49" t="s">
        <v>41</v>
      </c>
      <c r="EZ38" s="49" t="s">
        <v>41</v>
      </c>
      <c r="FA38" s="49" t="s">
        <v>41</v>
      </c>
      <c r="FB38" s="49" t="s">
        <v>41</v>
      </c>
      <c r="FC38" s="49" t="s">
        <v>41</v>
      </c>
      <c r="FD38" s="49" t="s">
        <v>41</v>
      </c>
      <c r="FE38" s="13" t="s">
        <v>41</v>
      </c>
      <c r="FF38" s="13" t="s">
        <v>41</v>
      </c>
      <c r="FG38" s="13" t="s">
        <v>41</v>
      </c>
      <c r="FH38" s="13" t="s">
        <v>41</v>
      </c>
      <c r="FI38" s="49" t="s">
        <v>41</v>
      </c>
      <c r="FJ38" s="49" t="s">
        <v>41</v>
      </c>
      <c r="FK38" s="49" t="s">
        <v>41</v>
      </c>
      <c r="FL38" s="49" t="s">
        <v>41</v>
      </c>
      <c r="FM38" s="49" t="s">
        <v>41</v>
      </c>
      <c r="FN38" s="49" t="s">
        <v>41</v>
      </c>
      <c r="FO38" s="49" t="s">
        <v>41</v>
      </c>
      <c r="FP38" s="49" t="s">
        <v>41</v>
      </c>
      <c r="FQ38" s="49" t="s">
        <v>41</v>
      </c>
      <c r="FR38" s="49" t="s">
        <v>41</v>
      </c>
      <c r="FS38" s="49" t="s">
        <v>41</v>
      </c>
      <c r="FT38" s="49" t="s">
        <v>41</v>
      </c>
      <c r="FU38" s="49" t="s">
        <v>41</v>
      </c>
      <c r="FV38" s="49" t="s">
        <v>41</v>
      </c>
      <c r="FW38" s="49" t="s">
        <v>33</v>
      </c>
      <c r="FX38" s="49" t="s">
        <v>33</v>
      </c>
      <c r="FY38" s="49" t="s">
        <v>33</v>
      </c>
      <c r="FZ38" s="49" t="s">
        <v>33</v>
      </c>
      <c r="GA38" s="49" t="s">
        <v>33</v>
      </c>
      <c r="GB38" s="49" t="s">
        <v>33</v>
      </c>
      <c r="GC38" s="13" t="s">
        <v>33</v>
      </c>
      <c r="GD38" s="13" t="s">
        <v>33</v>
      </c>
      <c r="GE38" s="13" t="s">
        <v>33</v>
      </c>
      <c r="GF38" s="13" t="s">
        <v>33</v>
      </c>
      <c r="GG38" s="13" t="s">
        <v>33</v>
      </c>
      <c r="GH38" s="13" t="s">
        <v>33</v>
      </c>
      <c r="GI38" s="13" t="s">
        <v>33</v>
      </c>
      <c r="GJ38" s="13" t="s">
        <v>33</v>
      </c>
    </row>
    <row r="39" s="13" customFormat="true" ht="15.75" hidden="false" customHeight="true" outlineLevel="0" collapsed="false">
      <c r="A39" s="20" t="s">
        <v>216</v>
      </c>
      <c r="B39" s="196"/>
      <c r="C39" s="196"/>
      <c r="D39" s="196"/>
      <c r="E39" s="196"/>
      <c r="F39" s="196"/>
      <c r="G39" s="196"/>
      <c r="H39" s="196"/>
      <c r="I39" s="196"/>
      <c r="J39" s="196"/>
      <c r="K39" s="196"/>
      <c r="L39" s="196"/>
      <c r="M39" s="196"/>
      <c r="N39" s="196"/>
      <c r="O39" s="196"/>
      <c r="P39" s="196"/>
      <c r="Q39" s="196"/>
      <c r="R39" s="196"/>
      <c r="S39" s="196"/>
      <c r="T39" s="196"/>
      <c r="U39" s="196"/>
      <c r="V39" s="196"/>
      <c r="W39" s="196"/>
      <c r="X39" s="196"/>
      <c r="Y39" s="196"/>
      <c r="Z39" s="196"/>
      <c r="AA39" s="196"/>
      <c r="AB39" s="196"/>
      <c r="AC39" s="196"/>
      <c r="AD39" s="196"/>
      <c r="AE39" s="196"/>
      <c r="AF39" s="196"/>
      <c r="AG39" s="196"/>
      <c r="AH39" s="196"/>
      <c r="AI39" s="196"/>
      <c r="AJ39" s="196"/>
      <c r="AK39" s="196"/>
      <c r="AL39" s="196"/>
      <c r="AM39" s="196"/>
      <c r="AN39" s="196"/>
      <c r="AO39" s="196"/>
      <c r="AP39" s="196"/>
      <c r="AQ39" s="196"/>
      <c r="AR39" s="196"/>
      <c r="AS39" s="196"/>
      <c r="AT39" s="196"/>
      <c r="AU39" s="196"/>
      <c r="AV39" s="196"/>
      <c r="AW39" s="196"/>
      <c r="AX39" s="196"/>
      <c r="AY39" s="196"/>
      <c r="AZ39" s="196"/>
      <c r="BA39" s="196"/>
      <c r="BB39" s="196"/>
      <c r="BC39" s="196"/>
      <c r="BD39" s="196"/>
      <c r="BE39" s="196"/>
      <c r="BF39" s="196"/>
      <c r="BG39" s="196"/>
      <c r="BH39" s="196"/>
      <c r="BI39" s="196"/>
      <c r="BJ39" s="196"/>
      <c r="BK39" s="196"/>
      <c r="BL39" s="196"/>
      <c r="BM39" s="196"/>
      <c r="BN39" s="196"/>
      <c r="BO39" s="196"/>
      <c r="BP39" s="196"/>
      <c r="BQ39" s="196"/>
      <c r="BR39" s="196"/>
      <c r="BS39" s="196"/>
      <c r="BT39" s="196"/>
      <c r="BU39" s="196"/>
      <c r="BV39" s="196"/>
      <c r="BW39" s="196"/>
      <c r="BX39" s="196"/>
      <c r="BY39" s="196"/>
      <c r="BZ39" s="196"/>
      <c r="CA39" s="196"/>
      <c r="CB39" s="196"/>
      <c r="CC39" s="196"/>
      <c r="CD39" s="196"/>
      <c r="CE39" s="196"/>
      <c r="CF39" s="196"/>
      <c r="CG39" s="196"/>
      <c r="CH39" s="196"/>
      <c r="CI39" s="196"/>
      <c r="CJ39" s="196"/>
      <c r="CK39" s="196"/>
      <c r="CL39" s="196"/>
      <c r="CM39" s="196"/>
      <c r="CN39" s="196"/>
      <c r="CO39" s="196"/>
      <c r="CP39" s="196"/>
      <c r="CQ39" s="196"/>
      <c r="CR39" s="196"/>
      <c r="CS39" s="196"/>
      <c r="CT39" s="196"/>
      <c r="CU39" s="196"/>
      <c r="CV39" s="196"/>
      <c r="CW39" s="196"/>
      <c r="CX39" s="196"/>
      <c r="CY39" s="196"/>
      <c r="CZ39" s="196"/>
      <c r="DA39" s="196"/>
      <c r="DB39" s="196"/>
      <c r="DC39" s="196"/>
      <c r="DD39" s="196"/>
      <c r="DE39" s="196"/>
      <c r="DF39" s="196"/>
      <c r="DG39" s="196"/>
      <c r="DH39" s="196"/>
      <c r="DI39" s="196"/>
      <c r="DJ39" s="196"/>
      <c r="DK39" s="196"/>
      <c r="DL39" s="196"/>
      <c r="DM39" s="196"/>
      <c r="DN39" s="196"/>
      <c r="DO39" s="196"/>
      <c r="DP39" s="196" t="s">
        <v>33</v>
      </c>
      <c r="DQ39" s="196" t="s">
        <v>33</v>
      </c>
      <c r="DR39" s="196" t="s">
        <v>33</v>
      </c>
      <c r="DS39" s="196" t="s">
        <v>33</v>
      </c>
      <c r="DT39" s="196" t="s">
        <v>33</v>
      </c>
      <c r="DU39" s="196" t="s">
        <v>33</v>
      </c>
      <c r="DV39" s="196" t="s">
        <v>33</v>
      </c>
      <c r="DW39" s="49" t="s">
        <v>33</v>
      </c>
      <c r="DX39" s="49" t="s">
        <v>33</v>
      </c>
      <c r="DY39" s="49" t="s">
        <v>33</v>
      </c>
      <c r="DZ39" s="49" t="s">
        <v>33</v>
      </c>
      <c r="EA39" s="49" t="s">
        <v>33</v>
      </c>
      <c r="EB39" s="49" t="s">
        <v>33</v>
      </c>
      <c r="EC39" s="49" t="s">
        <v>33</v>
      </c>
      <c r="ED39" s="49" t="s">
        <v>33</v>
      </c>
      <c r="EE39" s="49" t="s">
        <v>33</v>
      </c>
      <c r="EF39" s="49" t="s">
        <v>33</v>
      </c>
      <c r="EG39" s="49" t="s">
        <v>33</v>
      </c>
      <c r="EH39" s="49" t="s">
        <v>33</v>
      </c>
      <c r="EI39" s="49" t="s">
        <v>33</v>
      </c>
      <c r="EJ39" s="49" t="s">
        <v>33</v>
      </c>
      <c r="EK39" s="49" t="s">
        <v>33</v>
      </c>
      <c r="EL39" s="49" t="s">
        <v>33</v>
      </c>
      <c r="EM39" s="49" t="s">
        <v>33</v>
      </c>
      <c r="EN39" s="49" t="s">
        <v>33</v>
      </c>
      <c r="EO39" s="49" t="s">
        <v>33</v>
      </c>
      <c r="EP39" s="49" t="s">
        <v>33</v>
      </c>
      <c r="EQ39" s="49" t="s">
        <v>33</v>
      </c>
      <c r="ER39" s="49" t="s">
        <v>33</v>
      </c>
      <c r="ES39" s="49" t="s">
        <v>33</v>
      </c>
      <c r="ET39" s="49" t="s">
        <v>33</v>
      </c>
      <c r="EU39" s="49" t="s">
        <v>33</v>
      </c>
      <c r="EV39" s="49" t="s">
        <v>33</v>
      </c>
      <c r="EW39" s="49" t="s">
        <v>33</v>
      </c>
      <c r="EX39" s="49" t="s">
        <v>33</v>
      </c>
      <c r="EY39" s="49" t="s">
        <v>33</v>
      </c>
      <c r="EZ39" s="49" t="s">
        <v>33</v>
      </c>
      <c r="FA39" s="49" t="s">
        <v>33</v>
      </c>
      <c r="FB39" s="49" t="s">
        <v>33</v>
      </c>
      <c r="FC39" s="49" t="s">
        <v>33</v>
      </c>
      <c r="FD39" s="49" t="s">
        <v>33</v>
      </c>
      <c r="FE39" s="13" t="s">
        <v>33</v>
      </c>
      <c r="FF39" s="13" t="s">
        <v>33</v>
      </c>
      <c r="FG39" s="13" t="s">
        <v>33</v>
      </c>
      <c r="FH39" s="13" t="s">
        <v>33</v>
      </c>
      <c r="FI39" s="49" t="s">
        <v>33</v>
      </c>
      <c r="FJ39" s="49" t="s">
        <v>33</v>
      </c>
      <c r="FK39" s="49" t="s">
        <v>33</v>
      </c>
      <c r="FL39" s="49" t="s">
        <v>33</v>
      </c>
      <c r="FM39" s="49" t="s">
        <v>33</v>
      </c>
      <c r="FN39" s="49" t="s">
        <v>33</v>
      </c>
      <c r="FO39" s="49" t="s">
        <v>33</v>
      </c>
      <c r="FP39" s="49" t="s">
        <v>33</v>
      </c>
      <c r="FQ39" s="49" t="s">
        <v>33</v>
      </c>
      <c r="FR39" s="49" t="s">
        <v>33</v>
      </c>
      <c r="FS39" s="49" t="s">
        <v>33</v>
      </c>
      <c r="FT39" s="49" t="s">
        <v>33</v>
      </c>
      <c r="FU39" s="49" t="s">
        <v>33</v>
      </c>
      <c r="FV39" s="49" t="s">
        <v>33</v>
      </c>
      <c r="FW39" s="49" t="s">
        <v>33</v>
      </c>
      <c r="FX39" s="49" t="s">
        <v>33</v>
      </c>
      <c r="FY39" s="49" t="s">
        <v>33</v>
      </c>
      <c r="FZ39" s="49" t="s">
        <v>33</v>
      </c>
      <c r="GA39" s="49" t="s">
        <v>33</v>
      </c>
      <c r="GB39" s="49" t="s">
        <v>33</v>
      </c>
      <c r="GC39" s="13" t="s">
        <v>33</v>
      </c>
      <c r="GD39" s="13" t="s">
        <v>33</v>
      </c>
      <c r="GE39" s="13" t="s">
        <v>33</v>
      </c>
      <c r="GF39" s="13" t="s">
        <v>33</v>
      </c>
      <c r="GG39" s="13" t="s">
        <v>33</v>
      </c>
      <c r="GH39" s="13" t="s">
        <v>33</v>
      </c>
      <c r="GI39" s="13" t="s">
        <v>33</v>
      </c>
      <c r="GJ39" s="13" t="s">
        <v>33</v>
      </c>
    </row>
    <row r="40" s="13" customFormat="true" ht="15.75" hidden="false" customHeight="true" outlineLevel="0" collapsed="false">
      <c r="A40" s="20" t="s">
        <v>219</v>
      </c>
      <c r="B40" s="196"/>
      <c r="C40" s="196"/>
      <c r="D40" s="196"/>
      <c r="E40" s="196"/>
      <c r="F40" s="196"/>
      <c r="G40" s="196"/>
      <c r="H40" s="196"/>
      <c r="I40" s="196"/>
      <c r="J40" s="196"/>
      <c r="K40" s="196"/>
      <c r="L40" s="196"/>
      <c r="M40" s="196"/>
      <c r="N40" s="196"/>
      <c r="O40" s="196"/>
      <c r="P40" s="196"/>
      <c r="Q40" s="196"/>
      <c r="R40" s="196"/>
      <c r="S40" s="196"/>
      <c r="T40" s="196"/>
      <c r="U40" s="196"/>
      <c r="V40" s="196"/>
      <c r="W40" s="196"/>
      <c r="X40" s="196"/>
      <c r="Y40" s="196"/>
      <c r="Z40" s="196"/>
      <c r="AA40" s="196"/>
      <c r="AB40" s="196"/>
      <c r="AC40" s="196"/>
      <c r="AD40" s="196"/>
      <c r="AE40" s="196"/>
      <c r="AF40" s="196"/>
      <c r="AG40" s="196"/>
      <c r="AH40" s="196"/>
      <c r="AI40" s="196"/>
      <c r="AJ40" s="196"/>
      <c r="AK40" s="196"/>
      <c r="AL40" s="196"/>
      <c r="AM40" s="196"/>
      <c r="AN40" s="196"/>
      <c r="AO40" s="196"/>
      <c r="AP40" s="196"/>
      <c r="AQ40" s="196"/>
      <c r="AR40" s="196"/>
      <c r="AS40" s="196"/>
      <c r="AT40" s="196"/>
      <c r="AU40" s="196"/>
      <c r="AV40" s="196"/>
      <c r="AW40" s="196"/>
      <c r="AX40" s="196"/>
      <c r="AY40" s="196"/>
      <c r="AZ40" s="196"/>
      <c r="BA40" s="196"/>
      <c r="BB40" s="196"/>
      <c r="BC40" s="196"/>
      <c r="BD40" s="196"/>
      <c r="BE40" s="196"/>
      <c r="BF40" s="196"/>
      <c r="BG40" s="196"/>
      <c r="BH40" s="196"/>
      <c r="BI40" s="196"/>
      <c r="BJ40" s="196"/>
      <c r="BK40" s="196"/>
      <c r="BL40" s="196"/>
      <c r="BM40" s="196"/>
      <c r="BN40" s="196"/>
      <c r="BO40" s="196"/>
      <c r="BP40" s="196"/>
      <c r="BQ40" s="196"/>
      <c r="BR40" s="196"/>
      <c r="BS40" s="196"/>
      <c r="BT40" s="196"/>
      <c r="BU40" s="196"/>
      <c r="BV40" s="196"/>
      <c r="BW40" s="196"/>
      <c r="BX40" s="196"/>
      <c r="BY40" s="196"/>
      <c r="BZ40" s="196"/>
      <c r="CA40" s="196"/>
      <c r="CB40" s="196"/>
      <c r="CC40" s="196"/>
      <c r="CD40" s="196"/>
      <c r="CE40" s="196"/>
      <c r="CF40" s="196"/>
      <c r="CG40" s="196"/>
      <c r="CH40" s="196"/>
      <c r="CI40" s="196"/>
      <c r="CJ40" s="196"/>
      <c r="CK40" s="196"/>
      <c r="CL40" s="196"/>
      <c r="CM40" s="196"/>
      <c r="CN40" s="196"/>
      <c r="CO40" s="196"/>
      <c r="CP40" s="196"/>
      <c r="CQ40" s="196"/>
      <c r="CR40" s="196"/>
      <c r="CS40" s="196"/>
      <c r="CT40" s="196"/>
      <c r="CU40" s="196"/>
      <c r="CV40" s="196"/>
      <c r="CW40" s="196"/>
      <c r="CX40" s="196"/>
      <c r="CY40" s="196"/>
      <c r="CZ40" s="196"/>
      <c r="DA40" s="196"/>
      <c r="DB40" s="196"/>
      <c r="DC40" s="196"/>
      <c r="DD40" s="196"/>
      <c r="DE40" s="196"/>
      <c r="DF40" s="196"/>
      <c r="DG40" s="196"/>
      <c r="DH40" s="196"/>
      <c r="DI40" s="196"/>
      <c r="DJ40" s="196"/>
      <c r="DK40" s="196"/>
      <c r="DL40" s="196"/>
      <c r="DM40" s="196"/>
      <c r="DN40" s="196" t="s">
        <v>33</v>
      </c>
      <c r="DO40" s="196" t="s">
        <v>33</v>
      </c>
      <c r="DP40" s="196" t="s">
        <v>33</v>
      </c>
      <c r="DQ40" s="196" t="s">
        <v>33</v>
      </c>
      <c r="DR40" s="196" t="s">
        <v>33</v>
      </c>
      <c r="DS40" s="196" t="s">
        <v>33</v>
      </c>
      <c r="DT40" s="196" t="s">
        <v>33</v>
      </c>
      <c r="DU40" s="196" t="s">
        <v>33</v>
      </c>
      <c r="DV40" s="49" t="s">
        <v>33</v>
      </c>
      <c r="DW40" s="49" t="s">
        <v>41</v>
      </c>
      <c r="DX40" s="49" t="s">
        <v>41</v>
      </c>
      <c r="DY40" s="49" t="s">
        <v>33</v>
      </c>
      <c r="DZ40" s="49" t="s">
        <v>33</v>
      </c>
      <c r="EA40" s="49" t="s">
        <v>33</v>
      </c>
      <c r="EB40" s="49" t="s">
        <v>33</v>
      </c>
      <c r="EC40" s="49" t="s">
        <v>33</v>
      </c>
      <c r="ED40" s="49" t="s">
        <v>33</v>
      </c>
      <c r="EE40" s="49" t="s">
        <v>33</v>
      </c>
      <c r="EF40" s="49" t="s">
        <v>33</v>
      </c>
      <c r="EG40" s="49" t="s">
        <v>33</v>
      </c>
      <c r="EH40" s="49" t="s">
        <v>33</v>
      </c>
      <c r="EI40" s="49" t="s">
        <v>33</v>
      </c>
      <c r="EJ40" s="49" t="s">
        <v>33</v>
      </c>
      <c r="EK40" s="49" t="s">
        <v>37</v>
      </c>
      <c r="EL40" s="49" t="s">
        <v>37</v>
      </c>
      <c r="EM40" s="49" t="s">
        <v>37</v>
      </c>
      <c r="EN40" s="49" t="s">
        <v>37</v>
      </c>
      <c r="EO40" s="49" t="s">
        <v>37</v>
      </c>
      <c r="EP40" s="49" t="s">
        <v>37</v>
      </c>
      <c r="EQ40" s="49" t="s">
        <v>41</v>
      </c>
      <c r="ER40" s="49" t="s">
        <v>37</v>
      </c>
      <c r="ES40" s="49" t="s">
        <v>37</v>
      </c>
      <c r="ET40" s="49" t="s">
        <v>37</v>
      </c>
      <c r="EU40" s="49" t="s">
        <v>37</v>
      </c>
      <c r="EV40" s="49" t="s">
        <v>37</v>
      </c>
      <c r="EW40" s="49" t="s">
        <v>37</v>
      </c>
      <c r="EX40" s="49" t="s">
        <v>41</v>
      </c>
      <c r="EY40" s="49" t="s">
        <v>41</v>
      </c>
      <c r="EZ40" s="49" t="s">
        <v>37</v>
      </c>
      <c r="FA40" s="49" t="s">
        <v>33</v>
      </c>
      <c r="FB40" s="49" t="s">
        <v>33</v>
      </c>
      <c r="FC40" s="49" t="s">
        <v>37</v>
      </c>
      <c r="FD40" s="49" t="s">
        <v>33</v>
      </c>
      <c r="FE40" s="13" t="s">
        <v>33</v>
      </c>
      <c r="FF40" s="13" t="s">
        <v>33</v>
      </c>
      <c r="FG40" s="13" t="s">
        <v>33</v>
      </c>
      <c r="FH40" s="13" t="s">
        <v>33</v>
      </c>
      <c r="FI40" s="49" t="s">
        <v>37</v>
      </c>
      <c r="FJ40" s="49" t="s">
        <v>33</v>
      </c>
      <c r="FK40" s="49" t="s">
        <v>33</v>
      </c>
      <c r="FL40" s="49" t="s">
        <v>33</v>
      </c>
      <c r="FM40" s="49" t="s">
        <v>33</v>
      </c>
      <c r="FN40" s="49" t="s">
        <v>41</v>
      </c>
      <c r="FO40" s="49" t="s">
        <v>33</v>
      </c>
      <c r="FP40" s="49" t="s">
        <v>41</v>
      </c>
      <c r="FQ40" s="49" t="s">
        <v>33</v>
      </c>
      <c r="FR40" s="49" t="s">
        <v>33</v>
      </c>
      <c r="FS40" s="49" t="s">
        <v>33</v>
      </c>
      <c r="FT40" s="49" t="s">
        <v>33</v>
      </c>
      <c r="FU40" s="49" t="s">
        <v>33</v>
      </c>
      <c r="FV40" s="49" t="s">
        <v>41</v>
      </c>
      <c r="FW40" s="49" t="s">
        <v>41</v>
      </c>
      <c r="FX40" s="49" t="s">
        <v>41</v>
      </c>
      <c r="FY40" s="49" t="s">
        <v>41</v>
      </c>
      <c r="FZ40" s="49" t="s">
        <v>41</v>
      </c>
      <c r="GA40" s="49" t="s">
        <v>41</v>
      </c>
      <c r="GB40" s="49" t="s">
        <v>41</v>
      </c>
      <c r="GC40" s="49" t="s">
        <v>41</v>
      </c>
      <c r="GD40" s="13" t="s">
        <v>41</v>
      </c>
      <c r="GE40" s="13" t="s">
        <v>41</v>
      </c>
      <c r="GF40" s="193" t="s">
        <v>843</v>
      </c>
      <c r="GG40" s="193" t="s">
        <v>843</v>
      </c>
      <c r="GH40" s="193" t="s">
        <v>843</v>
      </c>
      <c r="GI40" s="13" t="s">
        <v>33</v>
      </c>
      <c r="GJ40" s="13" t="s">
        <v>33</v>
      </c>
    </row>
    <row r="41" s="13" customFormat="true" ht="15.75" hidden="false" customHeight="true" outlineLevel="0" collapsed="false">
      <c r="A41" s="20" t="s">
        <v>222</v>
      </c>
      <c r="B41" s="196"/>
      <c r="C41" s="196"/>
      <c r="D41" s="196"/>
      <c r="E41" s="196"/>
      <c r="F41" s="196"/>
      <c r="G41" s="196"/>
      <c r="H41" s="196"/>
      <c r="I41" s="196"/>
      <c r="J41" s="196"/>
      <c r="K41" s="196"/>
      <c r="L41" s="196"/>
      <c r="M41" s="196"/>
      <c r="N41" s="196"/>
      <c r="O41" s="196"/>
      <c r="P41" s="196"/>
      <c r="Q41" s="196"/>
      <c r="R41" s="196"/>
      <c r="S41" s="196"/>
      <c r="T41" s="196"/>
      <c r="U41" s="196"/>
      <c r="V41" s="196"/>
      <c r="W41" s="196"/>
      <c r="X41" s="196"/>
      <c r="Y41" s="196"/>
      <c r="Z41" s="196"/>
      <c r="AA41" s="196"/>
      <c r="AB41" s="196"/>
      <c r="AC41" s="196"/>
      <c r="AD41" s="196"/>
      <c r="AE41" s="196"/>
      <c r="AF41" s="196"/>
      <c r="AG41" s="196"/>
      <c r="AH41" s="196"/>
      <c r="AI41" s="196"/>
      <c r="AJ41" s="196"/>
      <c r="AK41" s="196"/>
      <c r="AL41" s="196"/>
      <c r="AM41" s="196"/>
      <c r="AN41" s="196"/>
      <c r="AO41" s="196"/>
      <c r="AP41" s="196"/>
      <c r="AQ41" s="196"/>
      <c r="AR41" s="196"/>
      <c r="AS41" s="196"/>
      <c r="AT41" s="196"/>
      <c r="AU41" s="196"/>
      <c r="AV41" s="196"/>
      <c r="AW41" s="196"/>
      <c r="AX41" s="196"/>
      <c r="AY41" s="196"/>
      <c r="AZ41" s="196"/>
      <c r="BA41" s="196"/>
      <c r="BB41" s="196"/>
      <c r="BC41" s="196"/>
      <c r="BD41" s="196"/>
      <c r="BE41" s="196"/>
      <c r="BF41" s="196"/>
      <c r="BG41" s="196"/>
      <c r="BH41" s="196"/>
      <c r="BI41" s="196"/>
      <c r="BJ41" s="196"/>
      <c r="BK41" s="196"/>
      <c r="BL41" s="196"/>
      <c r="BM41" s="196"/>
      <c r="BN41" s="196"/>
      <c r="BO41" s="196"/>
      <c r="BP41" s="196"/>
      <c r="BQ41" s="196"/>
      <c r="BR41" s="196"/>
      <c r="BS41" s="196"/>
      <c r="BT41" s="196"/>
      <c r="BU41" s="196"/>
      <c r="BV41" s="196"/>
      <c r="BW41" s="196"/>
      <c r="BX41" s="196"/>
      <c r="BY41" s="196"/>
      <c r="BZ41" s="196"/>
      <c r="CA41" s="196"/>
      <c r="CB41" s="196"/>
      <c r="CC41" s="196"/>
      <c r="CD41" s="196"/>
      <c r="CE41" s="196"/>
      <c r="CF41" s="196"/>
      <c r="CG41" s="196"/>
      <c r="CH41" s="196"/>
      <c r="CI41" s="196"/>
      <c r="CJ41" s="196"/>
      <c r="CK41" s="196"/>
      <c r="CL41" s="196"/>
      <c r="CM41" s="196"/>
      <c r="CN41" s="196"/>
      <c r="CO41" s="196"/>
      <c r="CP41" s="196"/>
      <c r="CQ41" s="196"/>
      <c r="CR41" s="196"/>
      <c r="CS41" s="196"/>
      <c r="CT41" s="196"/>
      <c r="CU41" s="196"/>
      <c r="CV41" s="196"/>
      <c r="CW41" s="196"/>
      <c r="CX41" s="196"/>
      <c r="CY41" s="196"/>
      <c r="CZ41" s="196"/>
      <c r="DA41" s="196"/>
      <c r="DB41" s="196"/>
      <c r="DC41" s="196"/>
      <c r="DD41" s="196"/>
      <c r="DE41" s="196"/>
      <c r="DF41" s="196"/>
      <c r="DG41" s="196"/>
      <c r="DH41" s="196"/>
      <c r="DI41" s="196"/>
      <c r="DJ41" s="196"/>
      <c r="DK41" s="196"/>
      <c r="DL41" s="196"/>
      <c r="DM41" s="196"/>
      <c r="DN41" s="196"/>
      <c r="DO41" s="196"/>
      <c r="DP41" s="196" t="s">
        <v>33</v>
      </c>
      <c r="DQ41" s="196" t="s">
        <v>33</v>
      </c>
      <c r="DR41" s="196" t="s">
        <v>33</v>
      </c>
      <c r="DS41" s="49" t="s">
        <v>41</v>
      </c>
      <c r="DT41" s="49" t="s">
        <v>33</v>
      </c>
      <c r="DU41" s="49" t="s">
        <v>33</v>
      </c>
      <c r="DV41" s="49" t="s">
        <v>33</v>
      </c>
      <c r="DW41" s="49" t="s">
        <v>33</v>
      </c>
      <c r="DX41" s="49" t="s">
        <v>33</v>
      </c>
      <c r="DY41" s="49" t="s">
        <v>33</v>
      </c>
      <c r="DZ41" s="49" t="s">
        <v>41</v>
      </c>
      <c r="EA41" s="49" t="s">
        <v>33</v>
      </c>
      <c r="EB41" s="49" t="s">
        <v>41</v>
      </c>
      <c r="EC41" s="49" t="s">
        <v>33</v>
      </c>
      <c r="ED41" s="49" t="s">
        <v>33</v>
      </c>
      <c r="EE41" s="49" t="s">
        <v>33</v>
      </c>
      <c r="EF41" s="49" t="s">
        <v>33</v>
      </c>
      <c r="EG41" s="49" t="s">
        <v>33</v>
      </c>
      <c r="EH41" s="49" t="s">
        <v>33</v>
      </c>
      <c r="EI41" s="49" t="s">
        <v>33</v>
      </c>
      <c r="EJ41" s="49" t="s">
        <v>33</v>
      </c>
      <c r="EK41" s="49" t="s">
        <v>33</v>
      </c>
      <c r="EL41" s="49" t="s">
        <v>33</v>
      </c>
      <c r="EO41" s="49" t="s">
        <v>41</v>
      </c>
      <c r="EP41" s="49" t="s">
        <v>41</v>
      </c>
      <c r="EQ41" s="49" t="s">
        <v>41</v>
      </c>
      <c r="ER41" s="49" t="s">
        <v>33</v>
      </c>
      <c r="ES41" s="49" t="s">
        <v>33</v>
      </c>
      <c r="ET41" s="49" t="s">
        <v>33</v>
      </c>
      <c r="EU41" s="49" t="s">
        <v>33</v>
      </c>
      <c r="EV41" s="49" t="s">
        <v>33</v>
      </c>
      <c r="EW41" s="49" t="s">
        <v>33</v>
      </c>
      <c r="EX41" s="49" t="s">
        <v>33</v>
      </c>
      <c r="EY41" s="49" t="s">
        <v>33</v>
      </c>
      <c r="EZ41" s="49" t="s">
        <v>33</v>
      </c>
      <c r="FA41" s="49" t="s">
        <v>33</v>
      </c>
      <c r="FB41" s="49" t="s">
        <v>33</v>
      </c>
      <c r="FC41" s="49" t="s">
        <v>33</v>
      </c>
      <c r="FD41" s="49" t="s">
        <v>33</v>
      </c>
      <c r="FE41" s="13" t="s">
        <v>33</v>
      </c>
      <c r="FF41" s="13" t="s">
        <v>33</v>
      </c>
      <c r="FG41" s="13" t="s">
        <v>33</v>
      </c>
      <c r="FH41" s="13" t="s">
        <v>33</v>
      </c>
      <c r="FI41" s="49" t="s">
        <v>33</v>
      </c>
      <c r="FJ41" s="49" t="s">
        <v>33</v>
      </c>
      <c r="FK41" s="49" t="s">
        <v>33</v>
      </c>
      <c r="FL41" s="49" t="s">
        <v>33</v>
      </c>
      <c r="FM41" s="49" t="s">
        <v>33</v>
      </c>
      <c r="FN41" s="49" t="s">
        <v>33</v>
      </c>
      <c r="FO41" s="49" t="s">
        <v>33</v>
      </c>
      <c r="FP41" s="49" t="s">
        <v>33</v>
      </c>
      <c r="FQ41" s="49" t="s">
        <v>33</v>
      </c>
      <c r="FR41" s="49" t="s">
        <v>33</v>
      </c>
      <c r="FS41" s="49" t="s">
        <v>33</v>
      </c>
      <c r="FT41" s="49" t="s">
        <v>37</v>
      </c>
      <c r="FU41" s="49" t="s">
        <v>37</v>
      </c>
      <c r="FV41" s="49" t="s">
        <v>41</v>
      </c>
      <c r="FW41" s="49" t="s">
        <v>33</v>
      </c>
      <c r="FX41" s="49" t="s">
        <v>33</v>
      </c>
      <c r="FY41" s="49" t="s">
        <v>33</v>
      </c>
      <c r="FZ41" s="49" t="s">
        <v>33</v>
      </c>
      <c r="GA41" s="49" t="s">
        <v>33</v>
      </c>
      <c r="GB41" s="49" t="s">
        <v>33</v>
      </c>
      <c r="GC41" s="49" t="s">
        <v>33</v>
      </c>
      <c r="GD41" s="13" t="s">
        <v>33</v>
      </c>
      <c r="GE41" s="13" t="s">
        <v>33</v>
      </c>
      <c r="GF41" s="13" t="s">
        <v>33</v>
      </c>
      <c r="GG41" s="13" t="s">
        <v>33</v>
      </c>
      <c r="GH41" s="13" t="s">
        <v>33</v>
      </c>
      <c r="GI41" s="13" t="s">
        <v>33</v>
      </c>
      <c r="GJ41" s="13" t="s">
        <v>33</v>
      </c>
    </row>
    <row r="42" s="13" customFormat="true" ht="15.75" hidden="false" customHeight="true" outlineLevel="0" collapsed="false">
      <c r="A42" s="13" t="s">
        <v>230</v>
      </c>
      <c r="B42" s="196"/>
      <c r="C42" s="196"/>
      <c r="D42" s="196"/>
      <c r="E42" s="196"/>
      <c r="F42" s="196"/>
      <c r="G42" s="196"/>
      <c r="H42" s="196"/>
      <c r="I42" s="196"/>
      <c r="J42" s="196"/>
      <c r="K42" s="196"/>
      <c r="L42" s="196"/>
      <c r="M42" s="196"/>
      <c r="N42" s="196"/>
      <c r="O42" s="196"/>
      <c r="P42" s="196"/>
      <c r="Q42" s="196"/>
      <c r="R42" s="196"/>
      <c r="S42" s="196"/>
      <c r="T42" s="196"/>
      <c r="U42" s="196"/>
      <c r="V42" s="196"/>
      <c r="W42" s="196"/>
      <c r="X42" s="196"/>
      <c r="Y42" s="196"/>
      <c r="Z42" s="196"/>
      <c r="AA42" s="196"/>
      <c r="AB42" s="196"/>
      <c r="AC42" s="196"/>
      <c r="AD42" s="196"/>
      <c r="AE42" s="196"/>
      <c r="AF42" s="196"/>
      <c r="AG42" s="196"/>
      <c r="AH42" s="196"/>
      <c r="AI42" s="196"/>
      <c r="AJ42" s="196"/>
      <c r="AK42" s="196"/>
      <c r="AL42" s="196"/>
      <c r="AM42" s="196"/>
      <c r="AN42" s="196"/>
      <c r="AO42" s="196"/>
      <c r="AP42" s="196"/>
      <c r="AQ42" s="196"/>
      <c r="AR42" s="196"/>
      <c r="AS42" s="196"/>
      <c r="AT42" s="196"/>
      <c r="AU42" s="196"/>
      <c r="AV42" s="196"/>
      <c r="AW42" s="196"/>
      <c r="AX42" s="196"/>
      <c r="AY42" s="196"/>
      <c r="AZ42" s="196"/>
      <c r="BA42" s="196"/>
      <c r="BB42" s="196"/>
      <c r="BC42" s="196"/>
      <c r="BD42" s="196"/>
      <c r="BE42" s="196"/>
      <c r="BF42" s="196"/>
      <c r="BG42" s="196"/>
      <c r="BH42" s="196"/>
      <c r="BI42" s="196"/>
      <c r="BJ42" s="196"/>
      <c r="BK42" s="196"/>
      <c r="BL42" s="196"/>
      <c r="BM42" s="196"/>
      <c r="BN42" s="196"/>
      <c r="BO42" s="196"/>
      <c r="BP42" s="196"/>
      <c r="BQ42" s="196"/>
      <c r="BR42" s="196"/>
      <c r="BS42" s="196"/>
      <c r="BT42" s="196"/>
      <c r="BU42" s="196"/>
      <c r="BV42" s="196"/>
      <c r="BW42" s="196"/>
      <c r="BX42" s="196"/>
      <c r="BY42" s="196"/>
      <c r="BZ42" s="196"/>
      <c r="CA42" s="196"/>
      <c r="CB42" s="196"/>
      <c r="CC42" s="196"/>
      <c r="CD42" s="196"/>
      <c r="CE42" s="196"/>
      <c r="CF42" s="196"/>
      <c r="CG42" s="196"/>
      <c r="CH42" s="196"/>
      <c r="CI42" s="196"/>
      <c r="CJ42" s="196"/>
      <c r="CK42" s="196"/>
      <c r="CL42" s="196"/>
      <c r="CM42" s="196"/>
      <c r="CN42" s="196"/>
      <c r="CO42" s="196"/>
      <c r="CP42" s="196"/>
      <c r="CQ42" s="196"/>
      <c r="CR42" s="196"/>
      <c r="CS42" s="196"/>
      <c r="CT42" s="196"/>
      <c r="CU42" s="196"/>
      <c r="CV42" s="196"/>
      <c r="CW42" s="196"/>
      <c r="CX42" s="196"/>
      <c r="CY42" s="196"/>
      <c r="CZ42" s="196"/>
      <c r="DA42" s="196"/>
      <c r="DB42" s="196"/>
      <c r="DC42" s="196"/>
      <c r="DD42" s="196"/>
      <c r="DE42" s="196"/>
      <c r="DF42" s="196"/>
      <c r="DG42" s="196"/>
      <c r="DH42" s="196"/>
      <c r="DI42" s="196"/>
      <c r="DJ42" s="196"/>
      <c r="DK42" s="196"/>
      <c r="DL42" s="196"/>
      <c r="DM42" s="196"/>
      <c r="DN42" s="196"/>
      <c r="DO42" s="196"/>
      <c r="DP42" s="196" t="s">
        <v>33</v>
      </c>
      <c r="DQ42" s="196" t="s">
        <v>33</v>
      </c>
      <c r="DR42" s="196" t="s">
        <v>33</v>
      </c>
      <c r="DS42" s="196" t="s">
        <v>33</v>
      </c>
      <c r="DT42" s="196" t="s">
        <v>33</v>
      </c>
      <c r="DU42" s="196" t="s">
        <v>33</v>
      </c>
      <c r="DV42" s="196" t="s">
        <v>33</v>
      </c>
      <c r="DW42" s="196" t="s">
        <v>41</v>
      </c>
      <c r="DX42" s="13" t="s">
        <v>41</v>
      </c>
      <c r="DY42" s="49" t="s">
        <v>41</v>
      </c>
      <c r="DZ42" s="49" t="s">
        <v>41</v>
      </c>
      <c r="EA42" s="49" t="s">
        <v>41</v>
      </c>
      <c r="EB42" s="49" t="s">
        <v>33</v>
      </c>
      <c r="EC42" s="49" t="s">
        <v>33</v>
      </c>
      <c r="ED42" s="49" t="s">
        <v>33</v>
      </c>
      <c r="EE42" s="49" t="s">
        <v>33</v>
      </c>
      <c r="EF42" s="49" t="s">
        <v>33</v>
      </c>
      <c r="EG42" s="49" t="s">
        <v>33</v>
      </c>
      <c r="EH42" s="49" t="s">
        <v>41</v>
      </c>
      <c r="EI42" s="49" t="s">
        <v>41</v>
      </c>
      <c r="EJ42" s="49" t="s">
        <v>33</v>
      </c>
      <c r="EK42" s="49" t="s">
        <v>33</v>
      </c>
      <c r="EL42" s="49" t="s">
        <v>33</v>
      </c>
      <c r="EM42" s="49" t="s">
        <v>33</v>
      </c>
      <c r="EN42" s="49" t="s">
        <v>33</v>
      </c>
      <c r="EO42" s="49" t="s">
        <v>33</v>
      </c>
      <c r="EP42" s="49" t="s">
        <v>33</v>
      </c>
      <c r="EQ42" s="49" t="s">
        <v>33</v>
      </c>
      <c r="ER42" s="49" t="s">
        <v>33</v>
      </c>
      <c r="ES42" s="49" t="s">
        <v>33</v>
      </c>
      <c r="ET42" s="49" t="s">
        <v>33</v>
      </c>
      <c r="EU42" s="49" t="s">
        <v>33</v>
      </c>
      <c r="EV42" s="49" t="s">
        <v>33</v>
      </c>
      <c r="EW42" s="49" t="s">
        <v>33</v>
      </c>
      <c r="EX42" s="49" t="s">
        <v>33</v>
      </c>
      <c r="EY42" s="49" t="s">
        <v>33</v>
      </c>
      <c r="EZ42" s="49" t="s">
        <v>33</v>
      </c>
      <c r="FA42" s="49" t="s">
        <v>33</v>
      </c>
      <c r="FB42" s="49" t="s">
        <v>33</v>
      </c>
      <c r="FC42" s="49" t="s">
        <v>33</v>
      </c>
      <c r="FD42" s="49" t="s">
        <v>33</v>
      </c>
      <c r="FE42" s="13" t="s">
        <v>33</v>
      </c>
      <c r="FF42" s="13" t="s">
        <v>33</v>
      </c>
      <c r="FG42" s="13" t="s">
        <v>33</v>
      </c>
      <c r="FH42" s="13" t="s">
        <v>33</v>
      </c>
      <c r="FI42" s="49" t="s">
        <v>33</v>
      </c>
      <c r="FJ42" s="49" t="s">
        <v>33</v>
      </c>
      <c r="FK42" s="49" t="s">
        <v>33</v>
      </c>
      <c r="FL42" s="49" t="s">
        <v>33</v>
      </c>
      <c r="FM42" s="49" t="s">
        <v>33</v>
      </c>
      <c r="FN42" s="49" t="s">
        <v>33</v>
      </c>
      <c r="FO42" s="49" t="s">
        <v>33</v>
      </c>
      <c r="FP42" s="49" t="s">
        <v>33</v>
      </c>
      <c r="FQ42" s="49" t="s">
        <v>33</v>
      </c>
      <c r="FR42" s="49" t="s">
        <v>33</v>
      </c>
      <c r="FS42" s="49" t="s">
        <v>33</v>
      </c>
      <c r="FT42" s="49" t="s">
        <v>33</v>
      </c>
      <c r="FU42" s="49" t="s">
        <v>33</v>
      </c>
      <c r="FV42" s="49" t="s">
        <v>33</v>
      </c>
      <c r="FW42" s="49" t="s">
        <v>33</v>
      </c>
      <c r="FX42" s="49" t="s">
        <v>33</v>
      </c>
      <c r="FY42" s="49" t="s">
        <v>33</v>
      </c>
      <c r="FZ42" s="49" t="s">
        <v>33</v>
      </c>
      <c r="GA42" s="49" t="s">
        <v>33</v>
      </c>
      <c r="GB42" s="49" t="s">
        <v>33</v>
      </c>
      <c r="GC42" s="49" t="s">
        <v>33</v>
      </c>
      <c r="GD42" s="13" t="s">
        <v>33</v>
      </c>
      <c r="GE42" s="13" t="s">
        <v>33</v>
      </c>
      <c r="GF42" s="13" t="s">
        <v>33</v>
      </c>
      <c r="GG42" s="13" t="s">
        <v>33</v>
      </c>
      <c r="GH42" s="13" t="s">
        <v>33</v>
      </c>
      <c r="GI42" s="13" t="s">
        <v>33</v>
      </c>
      <c r="GJ42" s="13" t="s">
        <v>33</v>
      </c>
    </row>
    <row r="43" s="13" customFormat="true" ht="15.75" hidden="false" customHeight="false" outlineLevel="0" collapsed="false">
      <c r="A43" s="13" t="s">
        <v>234</v>
      </c>
      <c r="B43" s="196"/>
      <c r="C43" s="196"/>
      <c r="D43" s="196"/>
      <c r="E43" s="196"/>
      <c r="F43" s="196"/>
      <c r="G43" s="196"/>
      <c r="H43" s="196"/>
      <c r="I43" s="196"/>
      <c r="J43" s="196"/>
      <c r="K43" s="196"/>
      <c r="L43" s="196"/>
      <c r="M43" s="196"/>
      <c r="N43" s="196"/>
      <c r="O43" s="196"/>
      <c r="P43" s="196"/>
      <c r="Q43" s="196"/>
      <c r="R43" s="196"/>
      <c r="S43" s="196"/>
      <c r="T43" s="196"/>
      <c r="U43" s="196"/>
      <c r="V43" s="196"/>
      <c r="W43" s="196"/>
      <c r="X43" s="196"/>
      <c r="Y43" s="196"/>
      <c r="Z43" s="196"/>
      <c r="AA43" s="196"/>
      <c r="AB43" s="196"/>
      <c r="AC43" s="196"/>
      <c r="AD43" s="196"/>
      <c r="AE43" s="196"/>
      <c r="AF43" s="196"/>
      <c r="AG43" s="196"/>
      <c r="AH43" s="196"/>
      <c r="AI43" s="196"/>
      <c r="AJ43" s="196"/>
      <c r="AK43" s="196"/>
      <c r="AL43" s="196"/>
      <c r="AM43" s="196"/>
      <c r="AN43" s="196"/>
      <c r="AO43" s="196"/>
      <c r="AP43" s="196"/>
      <c r="AQ43" s="196"/>
      <c r="AR43" s="196"/>
      <c r="AS43" s="196"/>
      <c r="AT43" s="196"/>
      <c r="AU43" s="196"/>
      <c r="AV43" s="196"/>
      <c r="AW43" s="196"/>
      <c r="AX43" s="196"/>
      <c r="AY43" s="196"/>
      <c r="AZ43" s="196"/>
      <c r="BA43" s="196"/>
      <c r="BB43" s="196"/>
      <c r="BC43" s="196"/>
      <c r="BD43" s="196"/>
      <c r="BE43" s="196"/>
      <c r="BF43" s="196"/>
      <c r="BG43" s="196"/>
      <c r="BH43" s="196"/>
      <c r="BI43" s="196"/>
      <c r="BJ43" s="196"/>
      <c r="BK43" s="196"/>
      <c r="BL43" s="196"/>
      <c r="BM43" s="196"/>
      <c r="BN43" s="196"/>
      <c r="BO43" s="196"/>
      <c r="BP43" s="196"/>
      <c r="BQ43" s="196"/>
      <c r="BR43" s="196"/>
      <c r="BS43" s="196"/>
      <c r="BT43" s="196"/>
      <c r="BU43" s="196"/>
      <c r="BV43" s="196"/>
      <c r="BW43" s="196"/>
      <c r="BX43" s="196"/>
      <c r="BY43" s="196"/>
      <c r="BZ43" s="196"/>
      <c r="CA43" s="196"/>
      <c r="CB43" s="196"/>
      <c r="CC43" s="196"/>
      <c r="CD43" s="196"/>
      <c r="CE43" s="196"/>
      <c r="CF43" s="196"/>
      <c r="CG43" s="196"/>
      <c r="CH43" s="196"/>
      <c r="CI43" s="196"/>
      <c r="CJ43" s="196"/>
      <c r="CK43" s="196"/>
      <c r="CL43" s="196"/>
      <c r="CM43" s="196"/>
      <c r="CN43" s="196"/>
      <c r="CO43" s="196"/>
      <c r="CP43" s="196"/>
      <c r="CQ43" s="196"/>
      <c r="CR43" s="196"/>
      <c r="CS43" s="196"/>
      <c r="CT43" s="196"/>
      <c r="CU43" s="196"/>
      <c r="CV43" s="196"/>
      <c r="CW43" s="196"/>
      <c r="CX43" s="196"/>
      <c r="CY43" s="196"/>
      <c r="CZ43" s="196"/>
      <c r="DA43" s="196"/>
      <c r="DB43" s="196"/>
      <c r="DC43" s="196"/>
      <c r="DD43" s="196"/>
      <c r="DE43" s="196"/>
      <c r="DF43" s="196"/>
      <c r="DG43" s="196"/>
      <c r="DH43" s="196"/>
      <c r="DI43" s="196"/>
      <c r="DJ43" s="196"/>
      <c r="DK43" s="196"/>
      <c r="DL43" s="196"/>
      <c r="DM43" s="196"/>
      <c r="DN43" s="196"/>
      <c r="DO43" s="196"/>
      <c r="DP43" s="196"/>
      <c r="DQ43" s="196"/>
      <c r="DR43" s="196"/>
      <c r="DS43" s="196"/>
      <c r="DT43" s="196"/>
      <c r="DU43" s="196"/>
      <c r="DV43" s="196"/>
      <c r="DW43" s="196"/>
      <c r="DX43" s="196"/>
      <c r="DY43" s="196"/>
      <c r="DZ43" s="196"/>
      <c r="EA43" s="196"/>
      <c r="EB43" s="49" t="s">
        <v>33</v>
      </c>
      <c r="EC43" s="49" t="s">
        <v>33</v>
      </c>
      <c r="ED43" s="49" t="s">
        <v>33</v>
      </c>
      <c r="EE43" s="49" t="s">
        <v>33</v>
      </c>
      <c r="EF43" s="49" t="s">
        <v>33</v>
      </c>
      <c r="EG43" s="49" t="s">
        <v>33</v>
      </c>
      <c r="EH43" s="49" t="s">
        <v>33</v>
      </c>
      <c r="EI43" s="49" t="s">
        <v>33</v>
      </c>
      <c r="EJ43" s="49" t="s">
        <v>33</v>
      </c>
      <c r="EK43" s="49" t="s">
        <v>33</v>
      </c>
      <c r="EL43" s="49" t="s">
        <v>33</v>
      </c>
      <c r="EM43" s="49" t="s">
        <v>33</v>
      </c>
      <c r="EN43" s="49" t="s">
        <v>33</v>
      </c>
      <c r="EO43" s="49" t="s">
        <v>33</v>
      </c>
      <c r="EP43" s="49" t="s">
        <v>41</v>
      </c>
      <c r="EQ43" s="49" t="s">
        <v>41</v>
      </c>
      <c r="ER43" s="49" t="s">
        <v>33</v>
      </c>
      <c r="ES43" s="49" t="s">
        <v>33</v>
      </c>
      <c r="ET43" s="49" t="s">
        <v>33</v>
      </c>
      <c r="EU43" s="49" t="s">
        <v>33</v>
      </c>
      <c r="EV43" s="49" t="s">
        <v>33</v>
      </c>
      <c r="EW43" s="49" t="s">
        <v>33</v>
      </c>
      <c r="EX43" s="49" t="s">
        <v>33</v>
      </c>
      <c r="EY43" s="49" t="s">
        <v>33</v>
      </c>
      <c r="EZ43" s="49" t="s">
        <v>33</v>
      </c>
      <c r="FA43" s="49" t="s">
        <v>33</v>
      </c>
      <c r="FB43" s="49" t="s">
        <v>33</v>
      </c>
      <c r="FC43" s="49" t="s">
        <v>33</v>
      </c>
      <c r="FD43" s="49" t="s">
        <v>33</v>
      </c>
      <c r="FE43" s="13" t="s">
        <v>33</v>
      </c>
      <c r="FF43" s="13" t="s">
        <v>33</v>
      </c>
      <c r="FG43" s="13" t="s">
        <v>33</v>
      </c>
      <c r="FH43" s="13" t="s">
        <v>33</v>
      </c>
      <c r="FI43" s="49" t="s">
        <v>33</v>
      </c>
      <c r="FJ43" s="49" t="s">
        <v>33</v>
      </c>
      <c r="FK43" s="49" t="s">
        <v>33</v>
      </c>
      <c r="FL43" s="49" t="s">
        <v>33</v>
      </c>
      <c r="FM43" s="49" t="s">
        <v>33</v>
      </c>
      <c r="FN43" s="49" t="s">
        <v>33</v>
      </c>
      <c r="FO43" s="49" t="s">
        <v>33</v>
      </c>
      <c r="FP43" s="49" t="s">
        <v>33</v>
      </c>
      <c r="FQ43" s="49" t="s">
        <v>33</v>
      </c>
      <c r="FR43" s="49" t="s">
        <v>33</v>
      </c>
      <c r="FS43" s="49" t="s">
        <v>33</v>
      </c>
      <c r="FT43" s="49" t="s">
        <v>33</v>
      </c>
      <c r="FU43" s="49" t="s">
        <v>33</v>
      </c>
      <c r="FV43" s="49" t="s">
        <v>33</v>
      </c>
      <c r="FW43" s="49" t="s">
        <v>33</v>
      </c>
      <c r="FX43" s="49" t="s">
        <v>33</v>
      </c>
      <c r="FY43" s="49" t="s">
        <v>33</v>
      </c>
      <c r="FZ43" s="49" t="s">
        <v>33</v>
      </c>
      <c r="GA43" s="49" t="s">
        <v>33</v>
      </c>
      <c r="GB43" s="49" t="s">
        <v>33</v>
      </c>
      <c r="GC43" s="49" t="s">
        <v>33</v>
      </c>
      <c r="GD43" s="13" t="s">
        <v>33</v>
      </c>
      <c r="GE43" s="13" t="s">
        <v>33</v>
      </c>
      <c r="GF43" s="13" t="s">
        <v>33</v>
      </c>
      <c r="GG43" s="13" t="s">
        <v>33</v>
      </c>
      <c r="GH43" s="13" t="s">
        <v>33</v>
      </c>
      <c r="GI43" s="13" t="s">
        <v>33</v>
      </c>
      <c r="GJ43" s="13" t="s">
        <v>33</v>
      </c>
    </row>
    <row r="44" s="13" customFormat="true" ht="15.75" hidden="false" customHeight="true" outlineLevel="0" collapsed="false">
      <c r="A44" s="13" t="s">
        <v>238</v>
      </c>
      <c r="B44" s="196"/>
      <c r="C44" s="196"/>
      <c r="D44" s="196"/>
      <c r="E44" s="196"/>
      <c r="F44" s="196"/>
      <c r="G44" s="196"/>
      <c r="H44" s="196"/>
      <c r="I44" s="196"/>
      <c r="J44" s="196"/>
      <c r="K44" s="196"/>
      <c r="L44" s="196"/>
      <c r="M44" s="196"/>
      <c r="N44" s="196"/>
      <c r="O44" s="196"/>
      <c r="P44" s="196"/>
      <c r="Q44" s="196"/>
      <c r="R44" s="196"/>
      <c r="S44" s="196"/>
      <c r="T44" s="196"/>
      <c r="U44" s="196"/>
      <c r="V44" s="196"/>
      <c r="W44" s="196"/>
      <c r="X44" s="196"/>
      <c r="Y44" s="196"/>
      <c r="Z44" s="196"/>
      <c r="AA44" s="196"/>
      <c r="AB44" s="196"/>
      <c r="AC44" s="196"/>
      <c r="AD44" s="196"/>
      <c r="AE44" s="196"/>
      <c r="AF44" s="196"/>
      <c r="AG44" s="196"/>
      <c r="AH44" s="196"/>
      <c r="AI44" s="196"/>
      <c r="AJ44" s="196"/>
      <c r="AK44" s="196"/>
      <c r="AL44" s="196"/>
      <c r="AM44" s="196"/>
      <c r="AN44" s="196"/>
      <c r="AO44" s="196"/>
      <c r="AP44" s="196"/>
      <c r="AQ44" s="196"/>
      <c r="AR44" s="196"/>
      <c r="AS44" s="196"/>
      <c r="AT44" s="196"/>
      <c r="AU44" s="196"/>
      <c r="AV44" s="196"/>
      <c r="AW44" s="196"/>
      <c r="AX44" s="196"/>
      <c r="AY44" s="196"/>
      <c r="AZ44" s="196"/>
      <c r="BA44" s="196"/>
      <c r="BB44" s="196"/>
      <c r="BC44" s="196"/>
      <c r="BD44" s="196"/>
      <c r="BE44" s="196"/>
      <c r="BF44" s="196"/>
      <c r="BG44" s="196"/>
      <c r="BH44" s="196"/>
      <c r="BI44" s="196"/>
      <c r="BJ44" s="196"/>
      <c r="BK44" s="196"/>
      <c r="BL44" s="196"/>
      <c r="BM44" s="196"/>
      <c r="BN44" s="196"/>
      <c r="BO44" s="196"/>
      <c r="BP44" s="196"/>
      <c r="BQ44" s="196"/>
      <c r="BR44" s="196"/>
      <c r="BS44" s="196"/>
      <c r="BT44" s="196"/>
      <c r="BU44" s="196"/>
      <c r="BV44" s="196"/>
      <c r="BW44" s="196"/>
      <c r="BX44" s="196"/>
      <c r="BY44" s="196"/>
      <c r="BZ44" s="196"/>
      <c r="CA44" s="196"/>
      <c r="CB44" s="196"/>
      <c r="CC44" s="196"/>
      <c r="CD44" s="196"/>
      <c r="CE44" s="196"/>
      <c r="CF44" s="196"/>
      <c r="CG44" s="196"/>
      <c r="CH44" s="196"/>
      <c r="CI44" s="196"/>
      <c r="CJ44" s="196"/>
      <c r="CK44" s="196"/>
      <c r="CL44" s="196"/>
      <c r="CM44" s="196"/>
      <c r="CN44" s="196"/>
      <c r="CO44" s="196"/>
      <c r="CP44" s="196"/>
      <c r="CQ44" s="196"/>
      <c r="CR44" s="196"/>
      <c r="CS44" s="196"/>
      <c r="CT44" s="196"/>
      <c r="CU44" s="196"/>
      <c r="CV44" s="196"/>
      <c r="CW44" s="196"/>
      <c r="CX44" s="196"/>
      <c r="CY44" s="196"/>
      <c r="CZ44" s="196"/>
      <c r="DA44" s="196"/>
      <c r="DB44" s="196"/>
      <c r="DC44" s="196"/>
      <c r="DD44" s="196"/>
      <c r="DE44" s="196"/>
      <c r="DF44" s="196"/>
      <c r="DG44" s="196"/>
      <c r="DH44" s="196"/>
      <c r="DI44" s="196"/>
      <c r="DJ44" s="196"/>
      <c r="DK44" s="196"/>
      <c r="DL44" s="196"/>
      <c r="DM44" s="196"/>
      <c r="DN44" s="196"/>
      <c r="DO44" s="196"/>
      <c r="DP44" s="196"/>
      <c r="DQ44" s="196"/>
      <c r="DR44" s="196"/>
      <c r="DS44" s="196"/>
      <c r="DT44" s="196"/>
      <c r="DU44" s="196"/>
      <c r="DV44" s="196"/>
      <c r="DW44" s="196"/>
      <c r="DX44" s="196"/>
      <c r="DY44" s="196"/>
      <c r="DZ44" s="196"/>
      <c r="EA44" s="196"/>
      <c r="EB44" s="196"/>
      <c r="EC44" s="49" t="s">
        <v>33</v>
      </c>
      <c r="ED44" s="49" t="s">
        <v>33</v>
      </c>
      <c r="EE44" s="49" t="s">
        <v>33</v>
      </c>
      <c r="EF44" s="49" t="s">
        <v>33</v>
      </c>
      <c r="EG44" s="49" t="s">
        <v>33</v>
      </c>
      <c r="EH44" s="49" t="s">
        <v>33</v>
      </c>
      <c r="EI44" s="49" t="s">
        <v>33</v>
      </c>
      <c r="EJ44" s="49" t="s">
        <v>33</v>
      </c>
      <c r="EK44" s="49" t="s">
        <v>33</v>
      </c>
      <c r="EL44" s="49" t="s">
        <v>33</v>
      </c>
      <c r="EM44" s="49" t="s">
        <v>33</v>
      </c>
      <c r="EN44" s="49" t="s">
        <v>33</v>
      </c>
      <c r="EO44" s="49" t="s">
        <v>33</v>
      </c>
      <c r="EP44" s="49" t="s">
        <v>33</v>
      </c>
      <c r="EQ44" s="49" t="s">
        <v>33</v>
      </c>
      <c r="ER44" s="49" t="s">
        <v>33</v>
      </c>
      <c r="ES44" s="49" t="s">
        <v>33</v>
      </c>
      <c r="ET44" s="49" t="s">
        <v>33</v>
      </c>
      <c r="EU44" s="49" t="s">
        <v>33</v>
      </c>
      <c r="EV44" s="49" t="s">
        <v>33</v>
      </c>
      <c r="EW44" s="49" t="s">
        <v>33</v>
      </c>
      <c r="EX44" s="49" t="s">
        <v>37</v>
      </c>
      <c r="EY44" s="49" t="s">
        <v>33</v>
      </c>
      <c r="EZ44" s="49" t="s">
        <v>33</v>
      </c>
      <c r="FA44" s="49" t="s">
        <v>33</v>
      </c>
      <c r="FB44" s="49" t="s">
        <v>33</v>
      </c>
      <c r="FC44" s="49" t="s">
        <v>33</v>
      </c>
      <c r="FD44" s="49" t="s">
        <v>33</v>
      </c>
      <c r="FE44" s="13" t="s">
        <v>33</v>
      </c>
      <c r="FF44" s="13" t="s">
        <v>33</v>
      </c>
      <c r="FG44" s="13" t="s">
        <v>33</v>
      </c>
      <c r="FH44" s="13" t="s">
        <v>33</v>
      </c>
      <c r="FI44" s="49" t="s">
        <v>33</v>
      </c>
      <c r="FJ44" s="49" t="s">
        <v>33</v>
      </c>
      <c r="FK44" s="49" t="s">
        <v>33</v>
      </c>
      <c r="FL44" s="49" t="s">
        <v>33</v>
      </c>
      <c r="FM44" s="49" t="s">
        <v>33</v>
      </c>
      <c r="FN44" s="49" t="s">
        <v>33</v>
      </c>
      <c r="FO44" s="49" t="s">
        <v>33</v>
      </c>
      <c r="FP44" s="49" t="s">
        <v>33</v>
      </c>
      <c r="FQ44" s="49" t="s">
        <v>33</v>
      </c>
      <c r="FR44" s="49" t="s">
        <v>33</v>
      </c>
      <c r="FS44" s="49" t="s">
        <v>33</v>
      </c>
      <c r="FT44" s="49" t="s">
        <v>33</v>
      </c>
      <c r="FU44" s="49" t="s">
        <v>33</v>
      </c>
      <c r="FV44" s="49" t="s">
        <v>33</v>
      </c>
      <c r="FW44" s="49" t="s">
        <v>33</v>
      </c>
      <c r="FX44" s="49" t="s">
        <v>33</v>
      </c>
      <c r="FY44" s="49" t="s">
        <v>33</v>
      </c>
      <c r="FZ44" s="49" t="s">
        <v>33</v>
      </c>
      <c r="GA44" s="49" t="s">
        <v>33</v>
      </c>
      <c r="GB44" s="49" t="s">
        <v>33</v>
      </c>
      <c r="GC44" s="49" t="s">
        <v>33</v>
      </c>
      <c r="GD44" s="13" t="s">
        <v>33</v>
      </c>
      <c r="GE44" s="13" t="s">
        <v>33</v>
      </c>
      <c r="GF44" s="13" t="s">
        <v>33</v>
      </c>
      <c r="GG44" s="13" t="s">
        <v>33</v>
      </c>
      <c r="GH44" s="13" t="s">
        <v>33</v>
      </c>
      <c r="GI44" s="13" t="s">
        <v>33</v>
      </c>
      <c r="GJ44" s="13" t="s">
        <v>33</v>
      </c>
    </row>
    <row r="45" s="158" customFormat="true" ht="15.75" hidden="false" customHeight="true" outlineLevel="0" collapsed="false">
      <c r="A45" s="158" t="s">
        <v>241</v>
      </c>
      <c r="B45" s="216"/>
      <c r="C45" s="216"/>
      <c r="D45" s="216"/>
      <c r="E45" s="216"/>
      <c r="F45" s="216"/>
      <c r="G45" s="216"/>
      <c r="H45" s="216"/>
      <c r="I45" s="216"/>
      <c r="J45" s="216"/>
      <c r="K45" s="216"/>
      <c r="L45" s="216"/>
      <c r="M45" s="216"/>
      <c r="N45" s="216"/>
      <c r="O45" s="216"/>
      <c r="P45" s="216"/>
      <c r="Q45" s="216"/>
      <c r="R45" s="216"/>
      <c r="S45" s="216"/>
      <c r="T45" s="216"/>
      <c r="U45" s="216"/>
      <c r="V45" s="216"/>
      <c r="W45" s="216"/>
      <c r="X45" s="216"/>
      <c r="Y45" s="216"/>
      <c r="Z45" s="216"/>
      <c r="AA45" s="216"/>
      <c r="AB45" s="216"/>
      <c r="AC45" s="216"/>
      <c r="AD45" s="216"/>
      <c r="AE45" s="216"/>
      <c r="AF45" s="216"/>
      <c r="AG45" s="216"/>
      <c r="AH45" s="216"/>
      <c r="AI45" s="216"/>
      <c r="AJ45" s="216"/>
      <c r="AK45" s="216"/>
      <c r="AL45" s="216"/>
      <c r="AM45" s="216"/>
      <c r="AN45" s="216"/>
      <c r="AO45" s="216"/>
      <c r="AP45" s="216"/>
      <c r="AQ45" s="216"/>
      <c r="AR45" s="216"/>
      <c r="AS45" s="216"/>
      <c r="AT45" s="216"/>
      <c r="AU45" s="216"/>
      <c r="AV45" s="216"/>
      <c r="AW45" s="216"/>
      <c r="AX45" s="216"/>
      <c r="AY45" s="216"/>
      <c r="AZ45" s="216"/>
      <c r="BA45" s="216"/>
      <c r="BB45" s="216"/>
      <c r="BC45" s="216"/>
      <c r="BD45" s="216"/>
      <c r="BE45" s="216"/>
      <c r="BF45" s="216"/>
      <c r="BG45" s="216"/>
      <c r="BH45" s="216"/>
      <c r="BI45" s="216"/>
      <c r="BJ45" s="216"/>
      <c r="BK45" s="216"/>
      <c r="BL45" s="216"/>
      <c r="BM45" s="216"/>
      <c r="BN45" s="216"/>
      <c r="BO45" s="216"/>
      <c r="BP45" s="216"/>
      <c r="BQ45" s="216"/>
      <c r="BR45" s="216"/>
      <c r="BS45" s="216"/>
      <c r="BT45" s="216"/>
      <c r="BU45" s="216"/>
      <c r="BV45" s="216"/>
      <c r="BW45" s="216"/>
      <c r="BX45" s="216"/>
      <c r="BY45" s="216"/>
      <c r="BZ45" s="216"/>
      <c r="CA45" s="216"/>
      <c r="CB45" s="216"/>
      <c r="CC45" s="216"/>
      <c r="CD45" s="216"/>
      <c r="CE45" s="216"/>
      <c r="CF45" s="216"/>
      <c r="CG45" s="216"/>
      <c r="CH45" s="216"/>
      <c r="CI45" s="216"/>
      <c r="CJ45" s="216"/>
      <c r="CK45" s="216"/>
      <c r="CL45" s="216"/>
      <c r="CM45" s="216"/>
      <c r="CN45" s="216"/>
      <c r="CO45" s="216"/>
      <c r="CP45" s="216"/>
      <c r="CQ45" s="216"/>
      <c r="CR45" s="216"/>
      <c r="CS45" s="216"/>
      <c r="CT45" s="216"/>
      <c r="CU45" s="216"/>
      <c r="CV45" s="216"/>
      <c r="CW45" s="216"/>
      <c r="CX45" s="216"/>
      <c r="CY45" s="216"/>
      <c r="CZ45" s="216"/>
      <c r="DA45" s="216"/>
      <c r="DB45" s="216"/>
      <c r="DC45" s="216"/>
      <c r="DD45" s="216"/>
      <c r="DE45" s="216"/>
      <c r="DF45" s="216"/>
      <c r="DG45" s="216"/>
      <c r="DH45" s="216"/>
      <c r="DI45" s="216"/>
      <c r="DJ45" s="216"/>
      <c r="DK45" s="216"/>
      <c r="DL45" s="216"/>
      <c r="DM45" s="216"/>
      <c r="DN45" s="216"/>
      <c r="DO45" s="216"/>
      <c r="DP45" s="216"/>
      <c r="DQ45" s="216"/>
      <c r="DR45" s="216"/>
      <c r="DS45" s="216"/>
      <c r="DT45" s="216"/>
      <c r="DU45" s="216"/>
      <c r="DV45" s="216"/>
      <c r="DW45" s="216"/>
      <c r="DX45" s="216"/>
      <c r="DY45" s="216"/>
      <c r="DZ45" s="216"/>
      <c r="EA45" s="216"/>
      <c r="EB45" s="216"/>
      <c r="EC45" s="216"/>
      <c r="ED45" s="216"/>
      <c r="EE45" s="216"/>
      <c r="EF45" s="158" t="s">
        <v>33</v>
      </c>
      <c r="EG45" s="158" t="s">
        <v>33</v>
      </c>
      <c r="EH45" s="158" t="s">
        <v>33</v>
      </c>
      <c r="EI45" s="158" t="s">
        <v>33</v>
      </c>
      <c r="EJ45" s="158" t="s">
        <v>33</v>
      </c>
      <c r="EK45" s="158" t="s">
        <v>33</v>
      </c>
      <c r="EL45" s="158" t="s">
        <v>33</v>
      </c>
      <c r="EM45" s="158" t="s">
        <v>33</v>
      </c>
      <c r="EN45" s="158" t="s">
        <v>33</v>
      </c>
      <c r="EO45" s="158" t="s">
        <v>33</v>
      </c>
      <c r="EP45" s="158" t="s">
        <v>33</v>
      </c>
      <c r="EQ45" s="158" t="s">
        <v>33</v>
      </c>
      <c r="ER45" s="158" t="s">
        <v>33</v>
      </c>
      <c r="ES45" s="158" t="s">
        <v>33</v>
      </c>
      <c r="ET45" s="158" t="s">
        <v>33</v>
      </c>
      <c r="EU45" s="158" t="s">
        <v>33</v>
      </c>
      <c r="EV45" s="158" t="s">
        <v>33</v>
      </c>
      <c r="EW45" s="158" t="s">
        <v>33</v>
      </c>
      <c r="EX45" s="158" t="s">
        <v>33</v>
      </c>
      <c r="EY45" s="158" t="s">
        <v>33</v>
      </c>
      <c r="EZ45" s="158" t="s">
        <v>33</v>
      </c>
      <c r="FA45" s="158" t="s">
        <v>33</v>
      </c>
      <c r="FB45" s="158" t="s">
        <v>33</v>
      </c>
      <c r="FC45" s="158" t="s">
        <v>33</v>
      </c>
      <c r="FD45" s="158" t="s">
        <v>33</v>
      </c>
      <c r="FE45" s="158" t="s">
        <v>33</v>
      </c>
      <c r="FF45" s="158" t="s">
        <v>33</v>
      </c>
      <c r="FG45" s="158" t="s">
        <v>33</v>
      </c>
      <c r="FH45" s="158" t="s">
        <v>33</v>
      </c>
      <c r="FI45" s="158" t="s">
        <v>33</v>
      </c>
      <c r="FJ45" s="158" t="s">
        <v>33</v>
      </c>
      <c r="FK45" s="158" t="s">
        <v>33</v>
      </c>
      <c r="FL45" s="158" t="s">
        <v>33</v>
      </c>
      <c r="FM45" s="158" t="s">
        <v>33</v>
      </c>
      <c r="FN45" s="158" t="s">
        <v>33</v>
      </c>
      <c r="FO45" s="158" t="s">
        <v>33</v>
      </c>
      <c r="FP45" s="158" t="s">
        <v>33</v>
      </c>
      <c r="FQ45" s="158" t="s">
        <v>33</v>
      </c>
      <c r="FR45" s="158" t="s">
        <v>33</v>
      </c>
      <c r="FS45" s="158" t="s">
        <v>33</v>
      </c>
      <c r="FT45" s="158" t="s">
        <v>33</v>
      </c>
      <c r="FU45" s="158" t="s">
        <v>33</v>
      </c>
      <c r="FV45" s="158" t="s">
        <v>33</v>
      </c>
      <c r="FW45" s="158" t="s">
        <v>33</v>
      </c>
      <c r="FX45" s="158" t="s">
        <v>33</v>
      </c>
      <c r="FY45" s="158" t="s">
        <v>33</v>
      </c>
      <c r="FZ45" s="158" t="s">
        <v>33</v>
      </c>
      <c r="GA45" s="158" t="s">
        <v>33</v>
      </c>
      <c r="GB45" s="158" t="s">
        <v>33</v>
      </c>
      <c r="GC45" s="158" t="s">
        <v>41</v>
      </c>
      <c r="GD45" s="220" t="s">
        <v>841</v>
      </c>
      <c r="GE45" s="220" t="s">
        <v>841</v>
      </c>
      <c r="GF45" s="158" t="s">
        <v>41</v>
      </c>
      <c r="GG45" s="158" t="s">
        <v>47</v>
      </c>
      <c r="GH45" s="158" t="s">
        <v>47</v>
      </c>
      <c r="GI45" s="216" t="s">
        <v>47</v>
      </c>
      <c r="GJ45" s="216" t="s">
        <v>47</v>
      </c>
    </row>
    <row r="46" s="13" customFormat="true" ht="15.75" hidden="false" customHeight="true" outlineLevel="0" collapsed="false">
      <c r="A46" s="13" t="s">
        <v>245</v>
      </c>
      <c r="B46" s="196"/>
      <c r="C46" s="196"/>
      <c r="D46" s="196"/>
      <c r="E46" s="196"/>
      <c r="F46" s="196"/>
      <c r="G46" s="196"/>
      <c r="H46" s="196"/>
      <c r="I46" s="196"/>
      <c r="J46" s="196"/>
      <c r="K46" s="196"/>
      <c r="L46" s="196"/>
      <c r="M46" s="196"/>
      <c r="N46" s="196"/>
      <c r="O46" s="196"/>
      <c r="P46" s="196"/>
      <c r="Q46" s="196"/>
      <c r="R46" s="196"/>
      <c r="S46" s="196"/>
      <c r="T46" s="196"/>
      <c r="U46" s="196"/>
      <c r="V46" s="196"/>
      <c r="W46" s="196"/>
      <c r="X46" s="196"/>
      <c r="Y46" s="196"/>
      <c r="Z46" s="196"/>
      <c r="AA46" s="196"/>
      <c r="AB46" s="196"/>
      <c r="AC46" s="196"/>
      <c r="AD46" s="196"/>
      <c r="AE46" s="196"/>
      <c r="AF46" s="196"/>
      <c r="AG46" s="196"/>
      <c r="AH46" s="196"/>
      <c r="AI46" s="196"/>
      <c r="AJ46" s="196"/>
      <c r="AK46" s="196"/>
      <c r="AL46" s="196"/>
      <c r="AM46" s="196"/>
      <c r="AN46" s="196"/>
      <c r="AO46" s="196"/>
      <c r="AP46" s="196"/>
      <c r="AQ46" s="196"/>
      <c r="AR46" s="196"/>
      <c r="AS46" s="196"/>
      <c r="AT46" s="196"/>
      <c r="AU46" s="196"/>
      <c r="AV46" s="196"/>
      <c r="AW46" s="196"/>
      <c r="AX46" s="196"/>
      <c r="AY46" s="196"/>
      <c r="AZ46" s="196"/>
      <c r="BA46" s="196"/>
      <c r="BB46" s="196"/>
      <c r="BC46" s="196"/>
      <c r="BD46" s="196"/>
      <c r="BE46" s="196"/>
      <c r="BF46" s="196"/>
      <c r="BG46" s="196"/>
      <c r="BH46" s="196"/>
      <c r="BI46" s="196"/>
      <c r="BJ46" s="196"/>
      <c r="BK46" s="196"/>
      <c r="BL46" s="196"/>
      <c r="BM46" s="196"/>
      <c r="BN46" s="196"/>
      <c r="BO46" s="196"/>
      <c r="BP46" s="196"/>
      <c r="BQ46" s="196"/>
      <c r="BR46" s="196"/>
      <c r="BS46" s="196"/>
      <c r="BT46" s="196"/>
      <c r="BU46" s="196"/>
      <c r="BV46" s="196"/>
      <c r="BW46" s="196"/>
      <c r="BX46" s="196"/>
      <c r="BY46" s="196"/>
      <c r="BZ46" s="196"/>
      <c r="CA46" s="196"/>
      <c r="CB46" s="196"/>
      <c r="CC46" s="196"/>
      <c r="CD46" s="196"/>
      <c r="CE46" s="196"/>
      <c r="CF46" s="196"/>
      <c r="CG46" s="196"/>
      <c r="CH46" s="196"/>
      <c r="CI46" s="196"/>
      <c r="CJ46" s="196"/>
      <c r="CK46" s="196"/>
      <c r="CL46" s="196"/>
      <c r="CM46" s="196"/>
      <c r="CN46" s="196"/>
      <c r="CO46" s="196"/>
      <c r="CP46" s="196"/>
      <c r="CQ46" s="196"/>
      <c r="CR46" s="196"/>
      <c r="CS46" s="196"/>
      <c r="CT46" s="196"/>
      <c r="CU46" s="196"/>
      <c r="CV46" s="196"/>
      <c r="CW46" s="196"/>
      <c r="CX46" s="196"/>
      <c r="CY46" s="196"/>
      <c r="CZ46" s="196"/>
      <c r="DA46" s="196"/>
      <c r="DB46" s="196"/>
      <c r="DC46" s="196"/>
      <c r="DD46" s="196"/>
      <c r="DE46" s="196"/>
      <c r="DF46" s="196"/>
      <c r="DG46" s="196"/>
      <c r="DH46" s="196"/>
      <c r="DI46" s="196"/>
      <c r="DJ46" s="196"/>
      <c r="DK46" s="196"/>
      <c r="DL46" s="196"/>
      <c r="DM46" s="196"/>
      <c r="DN46" s="196"/>
      <c r="DO46" s="196"/>
      <c r="DP46" s="196"/>
      <c r="DQ46" s="196"/>
      <c r="DR46" s="196"/>
      <c r="DS46" s="196"/>
      <c r="DT46" s="196"/>
      <c r="DU46" s="196"/>
      <c r="DV46" s="196"/>
      <c r="DW46" s="196"/>
      <c r="DX46" s="196"/>
      <c r="DY46" s="196"/>
      <c r="DZ46" s="196"/>
      <c r="EA46" s="196"/>
      <c r="EB46" s="196"/>
      <c r="EC46" s="196"/>
      <c r="ED46" s="196"/>
      <c r="EE46" s="196"/>
      <c r="EF46" s="196"/>
      <c r="EG46" s="196"/>
      <c r="EH46" s="196"/>
      <c r="EI46" s="196"/>
      <c r="EJ46" s="196"/>
      <c r="EK46" s="49" t="s">
        <v>33</v>
      </c>
      <c r="EL46" s="49" t="s">
        <v>33</v>
      </c>
      <c r="EM46" s="49" t="s">
        <v>33</v>
      </c>
      <c r="EN46" s="49" t="s">
        <v>33</v>
      </c>
      <c r="EO46" s="49" t="s">
        <v>33</v>
      </c>
      <c r="EP46" s="49" t="s">
        <v>33</v>
      </c>
      <c r="EQ46" s="49" t="s">
        <v>33</v>
      </c>
      <c r="ER46" s="49" t="s">
        <v>33</v>
      </c>
      <c r="ES46" s="49" t="s">
        <v>33</v>
      </c>
      <c r="ET46" s="49" t="s">
        <v>33</v>
      </c>
      <c r="EU46" s="49" t="s">
        <v>33</v>
      </c>
      <c r="EV46" s="49" t="s">
        <v>33</v>
      </c>
      <c r="EW46" s="49" t="s">
        <v>33</v>
      </c>
      <c r="EX46" s="49" t="s">
        <v>33</v>
      </c>
      <c r="EY46" s="49" t="s">
        <v>33</v>
      </c>
      <c r="EZ46" s="49" t="s">
        <v>33</v>
      </c>
      <c r="FA46" s="49" t="s">
        <v>33</v>
      </c>
      <c r="FB46" s="49" t="s">
        <v>33</v>
      </c>
      <c r="FC46" s="49" t="s">
        <v>33</v>
      </c>
      <c r="FD46" s="49" t="s">
        <v>33</v>
      </c>
      <c r="FE46" s="13" t="s">
        <v>33</v>
      </c>
      <c r="FF46" s="13" t="s">
        <v>33</v>
      </c>
      <c r="FG46" s="13" t="s">
        <v>33</v>
      </c>
      <c r="FH46" s="13" t="s">
        <v>33</v>
      </c>
      <c r="FI46" s="49" t="s">
        <v>33</v>
      </c>
      <c r="FJ46" s="49" t="s">
        <v>33</v>
      </c>
      <c r="FK46" s="49" t="s">
        <v>33</v>
      </c>
      <c r="FL46" s="49" t="s">
        <v>33</v>
      </c>
      <c r="FM46" s="49" t="s">
        <v>33</v>
      </c>
      <c r="FN46" s="49" t="s">
        <v>33</v>
      </c>
      <c r="FO46" s="49" t="s">
        <v>33</v>
      </c>
      <c r="FP46" s="49" t="s">
        <v>33</v>
      </c>
      <c r="FQ46" s="49" t="s">
        <v>33</v>
      </c>
      <c r="FR46" s="49" t="s">
        <v>33</v>
      </c>
      <c r="FS46" s="49" t="s">
        <v>33</v>
      </c>
      <c r="FT46" s="49" t="s">
        <v>33</v>
      </c>
      <c r="FU46" s="49" t="s">
        <v>33</v>
      </c>
      <c r="FV46" s="49" t="s">
        <v>33</v>
      </c>
      <c r="FW46" s="49" t="s">
        <v>33</v>
      </c>
      <c r="FX46" s="49" t="s">
        <v>33</v>
      </c>
      <c r="FY46" s="49" t="s">
        <v>33</v>
      </c>
      <c r="FZ46" s="49" t="s">
        <v>37</v>
      </c>
      <c r="GA46" s="49" t="s">
        <v>37</v>
      </c>
      <c r="GB46" s="49" t="s">
        <v>41</v>
      </c>
      <c r="GC46" s="49" t="s">
        <v>41</v>
      </c>
      <c r="GD46" s="59" t="s">
        <v>841</v>
      </c>
      <c r="GE46" s="49" t="s">
        <v>33</v>
      </c>
      <c r="GF46" s="193" t="s">
        <v>843</v>
      </c>
      <c r="GG46" s="193" t="s">
        <v>843</v>
      </c>
      <c r="GH46" s="193" t="s">
        <v>843</v>
      </c>
      <c r="GI46" s="13" t="s">
        <v>33</v>
      </c>
      <c r="GJ46" s="13" t="s">
        <v>33</v>
      </c>
    </row>
    <row r="47" s="158" customFormat="true" ht="15.75" hidden="false" customHeight="true" outlineLevel="0" collapsed="false">
      <c r="A47" s="158" t="s">
        <v>249</v>
      </c>
      <c r="B47" s="216"/>
      <c r="C47" s="216"/>
      <c r="D47" s="216"/>
      <c r="E47" s="216"/>
      <c r="F47" s="216"/>
      <c r="G47" s="216"/>
      <c r="H47" s="216"/>
      <c r="I47" s="216"/>
      <c r="J47" s="216"/>
      <c r="K47" s="216"/>
      <c r="L47" s="216"/>
      <c r="M47" s="216"/>
      <c r="N47" s="216"/>
      <c r="O47" s="216"/>
      <c r="P47" s="216"/>
      <c r="Q47" s="216"/>
      <c r="R47" s="216"/>
      <c r="S47" s="216"/>
      <c r="T47" s="216"/>
      <c r="U47" s="216"/>
      <c r="V47" s="216"/>
      <c r="W47" s="216"/>
      <c r="X47" s="216"/>
      <c r="Y47" s="216"/>
      <c r="Z47" s="216"/>
      <c r="AA47" s="216"/>
      <c r="AB47" s="216"/>
      <c r="AC47" s="216"/>
      <c r="AD47" s="216"/>
      <c r="AE47" s="216"/>
      <c r="AF47" s="216"/>
      <c r="AG47" s="216"/>
      <c r="AH47" s="216"/>
      <c r="AI47" s="216"/>
      <c r="AJ47" s="216"/>
      <c r="AK47" s="216"/>
      <c r="AL47" s="216"/>
      <c r="AM47" s="216"/>
      <c r="AN47" s="216"/>
      <c r="AO47" s="216"/>
      <c r="AP47" s="216"/>
      <c r="AQ47" s="216"/>
      <c r="AR47" s="216"/>
      <c r="AS47" s="216"/>
      <c r="AT47" s="216"/>
      <c r="AU47" s="216"/>
      <c r="AV47" s="216"/>
      <c r="AW47" s="216"/>
      <c r="AX47" s="216"/>
      <c r="AY47" s="216"/>
      <c r="AZ47" s="216"/>
      <c r="BA47" s="216"/>
      <c r="BB47" s="216"/>
      <c r="BC47" s="216"/>
      <c r="BD47" s="216"/>
      <c r="BE47" s="216"/>
      <c r="BF47" s="216"/>
      <c r="BG47" s="216"/>
      <c r="BH47" s="216"/>
      <c r="BI47" s="216"/>
      <c r="BJ47" s="216"/>
      <c r="BK47" s="216"/>
      <c r="BL47" s="216"/>
      <c r="BM47" s="216"/>
      <c r="BN47" s="216"/>
      <c r="BO47" s="216"/>
      <c r="BP47" s="216"/>
      <c r="BQ47" s="216"/>
      <c r="BR47" s="216"/>
      <c r="BS47" s="216"/>
      <c r="BT47" s="216"/>
      <c r="BU47" s="216"/>
      <c r="BV47" s="216"/>
      <c r="BW47" s="216"/>
      <c r="BX47" s="216"/>
      <c r="BY47" s="216"/>
      <c r="BZ47" s="216"/>
      <c r="CA47" s="216"/>
      <c r="CB47" s="216"/>
      <c r="CC47" s="216"/>
      <c r="CD47" s="216"/>
      <c r="CE47" s="216"/>
      <c r="CF47" s="216"/>
      <c r="CG47" s="216"/>
      <c r="CH47" s="216"/>
      <c r="CI47" s="216"/>
      <c r="CJ47" s="216"/>
      <c r="CK47" s="216"/>
      <c r="CL47" s="216"/>
      <c r="CM47" s="216"/>
      <c r="CN47" s="216"/>
      <c r="CO47" s="216"/>
      <c r="CP47" s="216"/>
      <c r="CQ47" s="216"/>
      <c r="CR47" s="216"/>
      <c r="CS47" s="216"/>
      <c r="CT47" s="216"/>
      <c r="CU47" s="216"/>
      <c r="CV47" s="216"/>
      <c r="CW47" s="216"/>
      <c r="CX47" s="216"/>
      <c r="CY47" s="216"/>
      <c r="CZ47" s="216"/>
      <c r="DA47" s="216"/>
      <c r="DB47" s="216"/>
      <c r="DC47" s="216"/>
      <c r="DD47" s="216"/>
      <c r="DE47" s="216"/>
      <c r="DF47" s="216"/>
      <c r="DG47" s="216"/>
      <c r="DH47" s="216"/>
      <c r="DI47" s="216"/>
      <c r="DJ47" s="216"/>
      <c r="DK47" s="216"/>
      <c r="DL47" s="216"/>
      <c r="DM47" s="216"/>
      <c r="DN47" s="216"/>
      <c r="DO47" s="216"/>
      <c r="DP47" s="216"/>
      <c r="DQ47" s="216"/>
      <c r="DR47" s="216"/>
      <c r="DS47" s="216"/>
      <c r="DT47" s="216"/>
      <c r="DU47" s="216"/>
      <c r="DV47" s="216"/>
      <c r="DW47" s="216"/>
      <c r="DX47" s="216"/>
      <c r="DY47" s="216"/>
      <c r="DZ47" s="216"/>
      <c r="EA47" s="216"/>
      <c r="EB47" s="216"/>
      <c r="EC47" s="216"/>
      <c r="ED47" s="216"/>
      <c r="EE47" s="216"/>
      <c r="EF47" s="216"/>
      <c r="EG47" s="216"/>
      <c r="EH47" s="216"/>
      <c r="EI47" s="216"/>
      <c r="EJ47" s="216"/>
      <c r="EK47" s="216"/>
      <c r="EL47" s="158" t="s">
        <v>33</v>
      </c>
      <c r="EM47" s="158" t="s">
        <v>33</v>
      </c>
      <c r="EN47" s="158" t="s">
        <v>41</v>
      </c>
      <c r="EO47" s="158" t="s">
        <v>33</v>
      </c>
      <c r="EP47" s="158" t="s">
        <v>33</v>
      </c>
      <c r="EQ47" s="158" t="s">
        <v>33</v>
      </c>
      <c r="ER47" s="158" t="s">
        <v>33</v>
      </c>
      <c r="ES47" s="158" t="s">
        <v>33</v>
      </c>
      <c r="ET47" s="158" t="s">
        <v>33</v>
      </c>
      <c r="EU47" s="158" t="s">
        <v>33</v>
      </c>
      <c r="EV47" s="158" t="s">
        <v>33</v>
      </c>
      <c r="EW47" s="158" t="s">
        <v>33</v>
      </c>
      <c r="EX47" s="158" t="s">
        <v>33</v>
      </c>
      <c r="EY47" s="158" t="s">
        <v>33</v>
      </c>
      <c r="EZ47" s="158" t="s">
        <v>33</v>
      </c>
      <c r="FA47" s="158" t="s">
        <v>33</v>
      </c>
      <c r="FB47" s="158" t="s">
        <v>33</v>
      </c>
      <c r="FC47" s="158" t="s">
        <v>33</v>
      </c>
      <c r="FD47" s="158" t="s">
        <v>33</v>
      </c>
      <c r="FE47" s="158" t="s">
        <v>33</v>
      </c>
      <c r="FF47" s="158" t="s">
        <v>33</v>
      </c>
      <c r="FG47" s="158" t="s">
        <v>33</v>
      </c>
      <c r="FH47" s="158" t="s">
        <v>33</v>
      </c>
      <c r="FI47" s="158" t="s">
        <v>33</v>
      </c>
      <c r="FJ47" s="158" t="s">
        <v>33</v>
      </c>
      <c r="FK47" s="158" t="s">
        <v>33</v>
      </c>
      <c r="FL47" s="158" t="s">
        <v>33</v>
      </c>
      <c r="FM47" s="158" t="s">
        <v>33</v>
      </c>
      <c r="FN47" s="158" t="s">
        <v>33</v>
      </c>
      <c r="FO47" s="158" t="s">
        <v>33</v>
      </c>
      <c r="FP47" s="158" t="s">
        <v>33</v>
      </c>
      <c r="FQ47" s="158" t="s">
        <v>33</v>
      </c>
      <c r="FR47" s="158" t="s">
        <v>33</v>
      </c>
      <c r="FS47" s="158" t="s">
        <v>47</v>
      </c>
      <c r="FT47" s="158" t="s">
        <v>47</v>
      </c>
      <c r="FU47" s="158" t="s">
        <v>47</v>
      </c>
      <c r="FV47" s="158" t="s">
        <v>47</v>
      </c>
      <c r="FW47" s="158" t="s">
        <v>47</v>
      </c>
      <c r="FX47" s="158" t="s">
        <v>47</v>
      </c>
      <c r="FY47" s="158" t="s">
        <v>47</v>
      </c>
      <c r="FZ47" s="158" t="s">
        <v>47</v>
      </c>
      <c r="GA47" s="158" t="s">
        <v>47</v>
      </c>
      <c r="GB47" s="158" t="s">
        <v>47</v>
      </c>
      <c r="GC47" s="216"/>
      <c r="GD47" s="216"/>
      <c r="GE47" s="216"/>
      <c r="GF47" s="216"/>
      <c r="GG47" s="216"/>
      <c r="GH47" s="216"/>
      <c r="GI47" s="216"/>
      <c r="GJ47" s="216"/>
    </row>
    <row r="48" s="13" customFormat="true" ht="15.75" hidden="false" customHeight="true" outlineLevel="0" collapsed="false">
      <c r="A48" s="13" t="s">
        <v>253</v>
      </c>
      <c r="B48" s="196"/>
      <c r="C48" s="196"/>
      <c r="D48" s="196"/>
      <c r="E48" s="196"/>
      <c r="F48" s="196"/>
      <c r="G48" s="196"/>
      <c r="H48" s="196"/>
      <c r="I48" s="196"/>
      <c r="J48" s="196"/>
      <c r="K48" s="196"/>
      <c r="L48" s="196"/>
      <c r="M48" s="196"/>
      <c r="N48" s="196"/>
      <c r="O48" s="196"/>
      <c r="P48" s="196"/>
      <c r="Q48" s="196"/>
      <c r="R48" s="196"/>
      <c r="S48" s="196"/>
      <c r="T48" s="196"/>
      <c r="U48" s="196"/>
      <c r="V48" s="196"/>
      <c r="W48" s="196"/>
      <c r="X48" s="196"/>
      <c r="Y48" s="196"/>
      <c r="Z48" s="196"/>
      <c r="AA48" s="196"/>
      <c r="AB48" s="196"/>
      <c r="AC48" s="196"/>
      <c r="AD48" s="196"/>
      <c r="AE48" s="196"/>
      <c r="AF48" s="196"/>
      <c r="AG48" s="196"/>
      <c r="AH48" s="196"/>
      <c r="AI48" s="196"/>
      <c r="AJ48" s="196"/>
      <c r="AK48" s="196"/>
      <c r="AL48" s="196"/>
      <c r="AM48" s="196"/>
      <c r="AN48" s="196"/>
      <c r="AO48" s="196"/>
      <c r="AP48" s="196"/>
      <c r="AQ48" s="196"/>
      <c r="AR48" s="196"/>
      <c r="AS48" s="196"/>
      <c r="AT48" s="196"/>
      <c r="AU48" s="196"/>
      <c r="AV48" s="196"/>
      <c r="AW48" s="196"/>
      <c r="AX48" s="196"/>
      <c r="AY48" s="196"/>
      <c r="AZ48" s="196"/>
      <c r="BA48" s="196"/>
      <c r="BB48" s="196"/>
      <c r="BC48" s="196"/>
      <c r="BD48" s="196"/>
      <c r="BE48" s="196"/>
      <c r="BF48" s="196"/>
      <c r="BG48" s="196"/>
      <c r="BH48" s="196"/>
      <c r="BI48" s="196"/>
      <c r="BJ48" s="196"/>
      <c r="BK48" s="196"/>
      <c r="BL48" s="196"/>
      <c r="BM48" s="196"/>
      <c r="BN48" s="196"/>
      <c r="BO48" s="196"/>
      <c r="BP48" s="196"/>
      <c r="BQ48" s="196"/>
      <c r="BR48" s="196"/>
      <c r="BS48" s="196"/>
      <c r="BT48" s="196"/>
      <c r="BU48" s="196"/>
      <c r="BV48" s="196"/>
      <c r="BW48" s="196"/>
      <c r="BX48" s="196"/>
      <c r="BY48" s="196"/>
      <c r="BZ48" s="196"/>
      <c r="CA48" s="196"/>
      <c r="CB48" s="196"/>
      <c r="CC48" s="196"/>
      <c r="CD48" s="196"/>
      <c r="CE48" s="196"/>
      <c r="CF48" s="196"/>
      <c r="CG48" s="196"/>
      <c r="CH48" s="196"/>
      <c r="CI48" s="196"/>
      <c r="CJ48" s="196"/>
      <c r="CK48" s="196"/>
      <c r="CL48" s="196"/>
      <c r="CM48" s="196"/>
      <c r="CN48" s="196"/>
      <c r="CO48" s="196"/>
      <c r="CP48" s="196"/>
      <c r="CQ48" s="196"/>
      <c r="CR48" s="196"/>
      <c r="CS48" s="196"/>
      <c r="CT48" s="196"/>
      <c r="CU48" s="196"/>
      <c r="CV48" s="196"/>
      <c r="CW48" s="196"/>
      <c r="CX48" s="196"/>
      <c r="CY48" s="196"/>
      <c r="CZ48" s="196"/>
      <c r="DA48" s="196"/>
      <c r="DB48" s="196"/>
      <c r="DC48" s="196"/>
      <c r="DD48" s="196"/>
      <c r="DE48" s="196"/>
      <c r="DF48" s="196"/>
      <c r="DG48" s="196"/>
      <c r="DH48" s="196"/>
      <c r="DI48" s="196"/>
      <c r="DJ48" s="196"/>
      <c r="DK48" s="196"/>
      <c r="DL48" s="196"/>
      <c r="DM48" s="196"/>
      <c r="DN48" s="196"/>
      <c r="DO48" s="196"/>
      <c r="DP48" s="196"/>
      <c r="DQ48" s="196"/>
      <c r="DR48" s="196"/>
      <c r="DS48" s="196"/>
      <c r="DT48" s="196"/>
      <c r="DU48" s="196"/>
      <c r="DV48" s="196"/>
      <c r="DW48" s="196"/>
      <c r="DX48" s="196"/>
      <c r="DY48" s="196"/>
      <c r="DZ48" s="196"/>
      <c r="EA48" s="196"/>
      <c r="EB48" s="196"/>
      <c r="EC48" s="196"/>
      <c r="ED48" s="196"/>
      <c r="EE48" s="196"/>
      <c r="EF48" s="196"/>
      <c r="EG48" s="196"/>
      <c r="EH48" s="196"/>
      <c r="EI48" s="196"/>
      <c r="EJ48" s="196"/>
      <c r="EK48" s="196"/>
      <c r="EL48" s="196"/>
      <c r="EM48" s="196"/>
      <c r="EN48" s="196"/>
      <c r="EO48" s="49" t="s">
        <v>33</v>
      </c>
      <c r="EP48" s="49" t="s">
        <v>33</v>
      </c>
      <c r="EQ48" s="49" t="s">
        <v>33</v>
      </c>
      <c r="ER48" s="49" t="s">
        <v>33</v>
      </c>
      <c r="ES48" s="49" t="s">
        <v>41</v>
      </c>
      <c r="ET48" s="49" t="s">
        <v>33</v>
      </c>
      <c r="EU48" s="49" t="s">
        <v>33</v>
      </c>
      <c r="EV48" s="49" t="s">
        <v>33</v>
      </c>
      <c r="EW48" s="49" t="s">
        <v>33</v>
      </c>
      <c r="EX48" s="49" t="s">
        <v>33</v>
      </c>
      <c r="EY48" s="49" t="s">
        <v>33</v>
      </c>
      <c r="EZ48" s="49" t="s">
        <v>41</v>
      </c>
      <c r="FA48" s="49" t="s">
        <v>33</v>
      </c>
      <c r="FB48" s="49" t="s">
        <v>33</v>
      </c>
      <c r="FC48" s="49" t="s">
        <v>33</v>
      </c>
      <c r="FD48" s="49" t="s">
        <v>33</v>
      </c>
      <c r="FE48" s="13" t="s">
        <v>33</v>
      </c>
      <c r="FF48" s="13" t="s">
        <v>33</v>
      </c>
      <c r="FG48" s="13" t="s">
        <v>33</v>
      </c>
      <c r="FH48" s="13" t="s">
        <v>33</v>
      </c>
      <c r="FI48" s="49" t="s">
        <v>33</v>
      </c>
      <c r="FJ48" s="49" t="s">
        <v>33</v>
      </c>
      <c r="FK48" s="49" t="s">
        <v>33</v>
      </c>
      <c r="FL48" s="49" t="s">
        <v>33</v>
      </c>
      <c r="FM48" s="49" t="s">
        <v>33</v>
      </c>
      <c r="FN48" s="49" t="s">
        <v>33</v>
      </c>
      <c r="FO48" s="49" t="s">
        <v>33</v>
      </c>
      <c r="FP48" s="49" t="s">
        <v>33</v>
      </c>
      <c r="FQ48" s="49" t="s">
        <v>33</v>
      </c>
      <c r="FR48" s="49" t="s">
        <v>33</v>
      </c>
      <c r="FS48" s="49" t="s">
        <v>33</v>
      </c>
      <c r="FT48" s="49" t="s">
        <v>33</v>
      </c>
      <c r="FU48" s="49" t="s">
        <v>33</v>
      </c>
      <c r="FV48" s="49" t="s">
        <v>33</v>
      </c>
      <c r="FW48" s="49" t="s">
        <v>33</v>
      </c>
      <c r="FX48" s="49" t="s">
        <v>33</v>
      </c>
      <c r="FY48" s="49" t="s">
        <v>33</v>
      </c>
      <c r="FZ48" s="49" t="s">
        <v>33</v>
      </c>
      <c r="GA48" s="49" t="s">
        <v>33</v>
      </c>
      <c r="GB48" s="49" t="s">
        <v>33</v>
      </c>
      <c r="GC48" s="49" t="s">
        <v>33</v>
      </c>
      <c r="GD48" s="13" t="s">
        <v>33</v>
      </c>
      <c r="GE48" s="13" t="s">
        <v>33</v>
      </c>
      <c r="GF48" s="193" t="s">
        <v>843</v>
      </c>
      <c r="GG48" s="193" t="s">
        <v>843</v>
      </c>
      <c r="GH48" s="193" t="s">
        <v>843</v>
      </c>
      <c r="GI48" s="13" t="s">
        <v>33</v>
      </c>
      <c r="GJ48" s="13" t="s">
        <v>33</v>
      </c>
    </row>
    <row r="49" s="13" customFormat="true" ht="15.75" hidden="false" customHeight="true" outlineLevel="0" collapsed="false">
      <c r="A49" s="13" t="s">
        <v>256</v>
      </c>
      <c r="B49" s="196"/>
      <c r="C49" s="196"/>
      <c r="D49" s="196"/>
      <c r="E49" s="196"/>
      <c r="F49" s="196"/>
      <c r="G49" s="196"/>
      <c r="H49" s="196"/>
      <c r="I49" s="196"/>
      <c r="J49" s="196"/>
      <c r="K49" s="196"/>
      <c r="L49" s="196"/>
      <c r="M49" s="196"/>
      <c r="N49" s="196"/>
      <c r="O49" s="196"/>
      <c r="P49" s="196"/>
      <c r="Q49" s="196"/>
      <c r="R49" s="196"/>
      <c r="S49" s="196"/>
      <c r="T49" s="196"/>
      <c r="U49" s="196"/>
      <c r="V49" s="196"/>
      <c r="W49" s="196"/>
      <c r="X49" s="196"/>
      <c r="Y49" s="196"/>
      <c r="Z49" s="196"/>
      <c r="AA49" s="196"/>
      <c r="AB49" s="196"/>
      <c r="AC49" s="196"/>
      <c r="AD49" s="196"/>
      <c r="AE49" s="196"/>
      <c r="AF49" s="196"/>
      <c r="AG49" s="196"/>
      <c r="AH49" s="196"/>
      <c r="AI49" s="196"/>
      <c r="AJ49" s="196"/>
      <c r="AK49" s="196"/>
      <c r="AL49" s="196"/>
      <c r="AM49" s="196"/>
      <c r="AN49" s="196"/>
      <c r="AO49" s="196"/>
      <c r="AP49" s="196"/>
      <c r="AQ49" s="196"/>
      <c r="AR49" s="196"/>
      <c r="AS49" s="196"/>
      <c r="AT49" s="196"/>
      <c r="AU49" s="196"/>
      <c r="AV49" s="196"/>
      <c r="AW49" s="196"/>
      <c r="AX49" s="196"/>
      <c r="AY49" s="196"/>
      <c r="AZ49" s="196"/>
      <c r="BA49" s="196"/>
      <c r="BB49" s="196"/>
      <c r="BC49" s="196"/>
      <c r="BD49" s="196"/>
      <c r="BE49" s="196"/>
      <c r="BF49" s="196"/>
      <c r="BG49" s="196"/>
      <c r="BH49" s="196"/>
      <c r="BI49" s="196"/>
      <c r="BJ49" s="196"/>
      <c r="BK49" s="196"/>
      <c r="BL49" s="196"/>
      <c r="BM49" s="196"/>
      <c r="BN49" s="196"/>
      <c r="BO49" s="196"/>
      <c r="BP49" s="196"/>
      <c r="BQ49" s="196"/>
      <c r="BR49" s="196"/>
      <c r="BS49" s="196"/>
      <c r="BT49" s="196"/>
      <c r="BU49" s="196"/>
      <c r="BV49" s="196"/>
      <c r="BW49" s="196"/>
      <c r="BX49" s="196"/>
      <c r="BY49" s="196"/>
      <c r="BZ49" s="196"/>
      <c r="CA49" s="196"/>
      <c r="CB49" s="196"/>
      <c r="CC49" s="196"/>
      <c r="CD49" s="196"/>
      <c r="CE49" s="196"/>
      <c r="CF49" s="196"/>
      <c r="CG49" s="196"/>
      <c r="CH49" s="196"/>
      <c r="CI49" s="196"/>
      <c r="CJ49" s="196"/>
      <c r="CK49" s="196"/>
      <c r="CL49" s="196"/>
      <c r="CM49" s="196"/>
      <c r="CN49" s="196"/>
      <c r="CO49" s="196"/>
      <c r="CP49" s="196"/>
      <c r="CQ49" s="196"/>
      <c r="CR49" s="196"/>
      <c r="CS49" s="196"/>
      <c r="CT49" s="196"/>
      <c r="CU49" s="196"/>
      <c r="CV49" s="196"/>
      <c r="CW49" s="196"/>
      <c r="CX49" s="196"/>
      <c r="CY49" s="196"/>
      <c r="CZ49" s="196"/>
      <c r="DA49" s="196"/>
      <c r="DB49" s="196"/>
      <c r="DC49" s="196"/>
      <c r="DD49" s="196"/>
      <c r="DE49" s="196"/>
      <c r="DF49" s="196"/>
      <c r="DG49" s="196"/>
      <c r="DH49" s="196"/>
      <c r="DI49" s="196"/>
      <c r="DJ49" s="196"/>
      <c r="DK49" s="196"/>
      <c r="DL49" s="196"/>
      <c r="DM49" s="196"/>
      <c r="DN49" s="196"/>
      <c r="DO49" s="196"/>
      <c r="DP49" s="196"/>
      <c r="DQ49" s="196"/>
      <c r="DR49" s="196"/>
      <c r="DS49" s="196"/>
      <c r="DT49" s="196"/>
      <c r="DU49" s="196"/>
      <c r="DV49" s="196"/>
      <c r="DW49" s="196"/>
      <c r="DX49" s="196"/>
      <c r="DY49" s="196"/>
      <c r="DZ49" s="196"/>
      <c r="EA49" s="196"/>
      <c r="EB49" s="196"/>
      <c r="EC49" s="196"/>
      <c r="ED49" s="196"/>
      <c r="EE49" s="196"/>
      <c r="EF49" s="196"/>
      <c r="EG49" s="196"/>
      <c r="EH49" s="196"/>
      <c r="EI49" s="196"/>
      <c r="EJ49" s="196"/>
      <c r="EK49" s="196"/>
      <c r="EL49" s="196"/>
      <c r="EM49" s="196"/>
      <c r="EN49" s="196"/>
      <c r="EO49" s="49" t="s">
        <v>33</v>
      </c>
      <c r="EP49" s="49" t="s">
        <v>33</v>
      </c>
      <c r="EQ49" s="49" t="s">
        <v>33</v>
      </c>
      <c r="ER49" s="49" t="s">
        <v>33</v>
      </c>
      <c r="ES49" s="49" t="s">
        <v>33</v>
      </c>
      <c r="ET49" s="49" t="s">
        <v>33</v>
      </c>
      <c r="EU49" s="49" t="s">
        <v>33</v>
      </c>
      <c r="EV49" s="49" t="s">
        <v>33</v>
      </c>
      <c r="EW49" s="49" t="s">
        <v>33</v>
      </c>
      <c r="EX49" s="49" t="s">
        <v>33</v>
      </c>
      <c r="EY49" s="49" t="s">
        <v>33</v>
      </c>
      <c r="EZ49" s="49" t="s">
        <v>33</v>
      </c>
      <c r="FA49" s="49" t="s">
        <v>33</v>
      </c>
      <c r="FB49" s="49" t="s">
        <v>33</v>
      </c>
      <c r="FC49" s="49" t="s">
        <v>33</v>
      </c>
      <c r="FD49" s="49" t="s">
        <v>33</v>
      </c>
      <c r="FE49" s="13" t="s">
        <v>33</v>
      </c>
      <c r="FF49" s="13" t="s">
        <v>33</v>
      </c>
      <c r="FG49" s="13" t="s">
        <v>33</v>
      </c>
      <c r="FH49" s="13" t="s">
        <v>33</v>
      </c>
      <c r="FI49" s="49" t="s">
        <v>33</v>
      </c>
      <c r="FJ49" s="49" t="s">
        <v>33</v>
      </c>
      <c r="FK49" s="49" t="s">
        <v>33</v>
      </c>
      <c r="FL49" s="49" t="s">
        <v>33</v>
      </c>
      <c r="FM49" s="49" t="s">
        <v>33</v>
      </c>
      <c r="FN49" s="49" t="s">
        <v>33</v>
      </c>
      <c r="FO49" s="49" t="s">
        <v>33</v>
      </c>
      <c r="FP49" s="49" t="s">
        <v>33</v>
      </c>
      <c r="FQ49" s="49" t="s">
        <v>33</v>
      </c>
      <c r="FR49" s="49" t="s">
        <v>33</v>
      </c>
      <c r="FS49" s="49" t="s">
        <v>33</v>
      </c>
      <c r="FT49" s="49" t="s">
        <v>33</v>
      </c>
      <c r="FU49" s="49" t="s">
        <v>33</v>
      </c>
      <c r="FV49" s="49" t="s">
        <v>33</v>
      </c>
      <c r="FW49" s="49" t="s">
        <v>33</v>
      </c>
      <c r="FX49" s="49" t="s">
        <v>33</v>
      </c>
      <c r="FY49" s="49" t="s">
        <v>33</v>
      </c>
      <c r="FZ49" s="49" t="s">
        <v>33</v>
      </c>
      <c r="GA49" s="49" t="s">
        <v>33</v>
      </c>
      <c r="GB49" s="49" t="s">
        <v>33</v>
      </c>
      <c r="GC49" s="49" t="s">
        <v>33</v>
      </c>
      <c r="GD49" s="13" t="s">
        <v>33</v>
      </c>
      <c r="GE49" s="13" t="s">
        <v>33</v>
      </c>
      <c r="GF49" s="13" t="s">
        <v>33</v>
      </c>
      <c r="GG49" s="13" t="s">
        <v>33</v>
      </c>
      <c r="GH49" s="13" t="s">
        <v>33</v>
      </c>
      <c r="GI49" s="13" t="s">
        <v>33</v>
      </c>
      <c r="GJ49" s="13" t="s">
        <v>33</v>
      </c>
    </row>
    <row r="50" s="13" customFormat="true" ht="15.75" hidden="false" customHeight="true" outlineLevel="0" collapsed="false">
      <c r="A50" s="13" t="s">
        <v>259</v>
      </c>
      <c r="B50" s="196"/>
      <c r="C50" s="196"/>
      <c r="D50" s="196"/>
      <c r="E50" s="196"/>
      <c r="F50" s="196"/>
      <c r="G50" s="196"/>
      <c r="H50" s="196"/>
      <c r="I50" s="196"/>
      <c r="J50" s="196"/>
      <c r="K50" s="196"/>
      <c r="L50" s="196"/>
      <c r="M50" s="196"/>
      <c r="N50" s="196"/>
      <c r="O50" s="196"/>
      <c r="P50" s="196"/>
      <c r="Q50" s="196"/>
      <c r="R50" s="196"/>
      <c r="S50" s="196"/>
      <c r="T50" s="196"/>
      <c r="U50" s="196"/>
      <c r="V50" s="196"/>
      <c r="W50" s="196"/>
      <c r="X50" s="196"/>
      <c r="Y50" s="196"/>
      <c r="Z50" s="196"/>
      <c r="AA50" s="196"/>
      <c r="AB50" s="196"/>
      <c r="AC50" s="196"/>
      <c r="AD50" s="196"/>
      <c r="AE50" s="196"/>
      <c r="AF50" s="196"/>
      <c r="AG50" s="196"/>
      <c r="AH50" s="196"/>
      <c r="AI50" s="196"/>
      <c r="AJ50" s="196"/>
      <c r="AK50" s="196"/>
      <c r="AL50" s="196"/>
      <c r="AM50" s="196"/>
      <c r="AN50" s="196"/>
      <c r="AO50" s="196"/>
      <c r="AP50" s="196"/>
      <c r="AQ50" s="196"/>
      <c r="AR50" s="196"/>
      <c r="AS50" s="196"/>
      <c r="AT50" s="196"/>
      <c r="AU50" s="196"/>
      <c r="AV50" s="196"/>
      <c r="AW50" s="196"/>
      <c r="AX50" s="196"/>
      <c r="AY50" s="196"/>
      <c r="AZ50" s="196"/>
      <c r="BA50" s="196"/>
      <c r="BB50" s="196"/>
      <c r="BC50" s="196"/>
      <c r="BD50" s="196"/>
      <c r="BE50" s="196"/>
      <c r="BF50" s="196"/>
      <c r="BG50" s="196"/>
      <c r="BH50" s="196"/>
      <c r="BI50" s="196"/>
      <c r="BJ50" s="196"/>
      <c r="BK50" s="196"/>
      <c r="BL50" s="196"/>
      <c r="BM50" s="196"/>
      <c r="BN50" s="196"/>
      <c r="BO50" s="196"/>
      <c r="BP50" s="196"/>
      <c r="BQ50" s="196"/>
      <c r="BR50" s="196"/>
      <c r="BS50" s="196"/>
      <c r="BT50" s="196"/>
      <c r="BU50" s="196"/>
      <c r="BV50" s="196"/>
      <c r="BW50" s="196"/>
      <c r="BX50" s="196"/>
      <c r="BY50" s="196"/>
      <c r="BZ50" s="196"/>
      <c r="CA50" s="196"/>
      <c r="CB50" s="196"/>
      <c r="CC50" s="196"/>
      <c r="CD50" s="196"/>
      <c r="CE50" s="196"/>
      <c r="CF50" s="196"/>
      <c r="CG50" s="196"/>
      <c r="CH50" s="196"/>
      <c r="CI50" s="196"/>
      <c r="CJ50" s="196"/>
      <c r="CK50" s="196"/>
      <c r="CL50" s="196"/>
      <c r="CM50" s="196"/>
      <c r="CN50" s="196"/>
      <c r="CO50" s="196"/>
      <c r="CP50" s="196"/>
      <c r="CQ50" s="196"/>
      <c r="CR50" s="196"/>
      <c r="CS50" s="196"/>
      <c r="CT50" s="196"/>
      <c r="CU50" s="196"/>
      <c r="CV50" s="196"/>
      <c r="CW50" s="196"/>
      <c r="CX50" s="196"/>
      <c r="CY50" s="196"/>
      <c r="CZ50" s="196"/>
      <c r="DA50" s="196"/>
      <c r="DB50" s="196"/>
      <c r="DC50" s="196"/>
      <c r="DD50" s="196"/>
      <c r="DE50" s="196"/>
      <c r="DF50" s="196"/>
      <c r="DG50" s="196"/>
      <c r="DH50" s="196"/>
      <c r="DI50" s="196"/>
      <c r="DJ50" s="196"/>
      <c r="DK50" s="196"/>
      <c r="DL50" s="196"/>
      <c r="DM50" s="196"/>
      <c r="DN50" s="196"/>
      <c r="DO50" s="196"/>
      <c r="DP50" s="196"/>
      <c r="DQ50" s="196"/>
      <c r="DR50" s="196"/>
      <c r="DS50" s="196"/>
      <c r="DT50" s="196"/>
      <c r="DU50" s="196"/>
      <c r="DV50" s="196"/>
      <c r="DW50" s="196"/>
      <c r="DX50" s="196"/>
      <c r="DY50" s="196"/>
      <c r="DZ50" s="196"/>
      <c r="EA50" s="196"/>
      <c r="EB50" s="196"/>
      <c r="EC50" s="196"/>
      <c r="ED50" s="196"/>
      <c r="EE50" s="196"/>
      <c r="EF50" s="196"/>
      <c r="EG50" s="196"/>
      <c r="EH50" s="196"/>
      <c r="EI50" s="196"/>
      <c r="EJ50" s="196"/>
      <c r="EK50" s="196"/>
      <c r="EL50" s="196"/>
      <c r="EM50" s="196"/>
      <c r="EN50" s="196"/>
      <c r="EO50" s="49" t="s">
        <v>33</v>
      </c>
      <c r="EP50" s="49" t="s">
        <v>33</v>
      </c>
      <c r="EQ50" s="49" t="s">
        <v>33</v>
      </c>
      <c r="ER50" s="49" t="s">
        <v>33</v>
      </c>
      <c r="ES50" s="49" t="s">
        <v>33</v>
      </c>
      <c r="ET50" s="49" t="s">
        <v>33</v>
      </c>
      <c r="EU50" s="49" t="s">
        <v>33</v>
      </c>
      <c r="EV50" s="49" t="s">
        <v>33</v>
      </c>
      <c r="EW50" s="49" t="s">
        <v>33</v>
      </c>
      <c r="EX50" s="49" t="s">
        <v>33</v>
      </c>
      <c r="EY50" s="49" t="s">
        <v>33</v>
      </c>
      <c r="EZ50" s="49" t="s">
        <v>33</v>
      </c>
      <c r="FA50" s="49" t="s">
        <v>33</v>
      </c>
      <c r="FB50" s="49" t="s">
        <v>33</v>
      </c>
      <c r="FC50" s="49" t="s">
        <v>33</v>
      </c>
      <c r="FD50" s="49" t="s">
        <v>33</v>
      </c>
      <c r="FE50" s="13" t="s">
        <v>33</v>
      </c>
      <c r="FF50" s="13" t="s">
        <v>33</v>
      </c>
      <c r="FG50" s="13" t="s">
        <v>33</v>
      </c>
      <c r="FH50" s="13" t="s">
        <v>33</v>
      </c>
      <c r="FI50" s="49" t="s">
        <v>33</v>
      </c>
      <c r="FJ50" s="49" t="s">
        <v>33</v>
      </c>
      <c r="FK50" s="49" t="s">
        <v>33</v>
      </c>
      <c r="FL50" s="49" t="s">
        <v>33</v>
      </c>
      <c r="FM50" s="49" t="s">
        <v>33</v>
      </c>
      <c r="FN50" s="49" t="s">
        <v>33</v>
      </c>
      <c r="FO50" s="49" t="s">
        <v>33</v>
      </c>
      <c r="FP50" s="49" t="s">
        <v>33</v>
      </c>
      <c r="FQ50" s="49" t="s">
        <v>33</v>
      </c>
      <c r="FR50" s="49" t="s">
        <v>33</v>
      </c>
      <c r="FS50" s="49" t="s">
        <v>33</v>
      </c>
      <c r="FT50" s="49" t="s">
        <v>33</v>
      </c>
      <c r="FU50" s="49" t="s">
        <v>33</v>
      </c>
      <c r="FV50" s="49" t="s">
        <v>33</v>
      </c>
      <c r="FW50" s="49" t="s">
        <v>33</v>
      </c>
      <c r="FX50" s="49" t="s">
        <v>33</v>
      </c>
      <c r="FY50" s="49" t="s">
        <v>33</v>
      </c>
      <c r="FZ50" s="49" t="s">
        <v>33</v>
      </c>
      <c r="GA50" s="49" t="s">
        <v>33</v>
      </c>
      <c r="GB50" s="49" t="s">
        <v>33</v>
      </c>
      <c r="GC50" s="13" t="s">
        <v>41</v>
      </c>
      <c r="GD50" s="13" t="s">
        <v>47</v>
      </c>
      <c r="GE50" s="49" t="s">
        <v>47</v>
      </c>
      <c r="GF50" s="196"/>
      <c r="GG50" s="193" t="s">
        <v>843</v>
      </c>
      <c r="GH50" s="193" t="s">
        <v>843</v>
      </c>
      <c r="GI50" s="13" t="s">
        <v>33</v>
      </c>
      <c r="GJ50" s="13" t="s">
        <v>33</v>
      </c>
    </row>
    <row r="51" s="13" customFormat="true" ht="15.75" hidden="false" customHeight="true" outlineLevel="0" collapsed="false">
      <c r="A51" s="13" t="s">
        <v>263</v>
      </c>
      <c r="B51" s="196"/>
      <c r="C51" s="196"/>
      <c r="D51" s="196"/>
      <c r="E51" s="196"/>
      <c r="F51" s="196"/>
      <c r="G51" s="196"/>
      <c r="H51" s="196"/>
      <c r="I51" s="196"/>
      <c r="J51" s="196"/>
      <c r="K51" s="196"/>
      <c r="L51" s="196"/>
      <c r="M51" s="196"/>
      <c r="N51" s="196"/>
      <c r="O51" s="196"/>
      <c r="P51" s="196"/>
      <c r="Q51" s="196"/>
      <c r="R51" s="196"/>
      <c r="S51" s="196"/>
      <c r="T51" s="196"/>
      <c r="U51" s="196"/>
      <c r="V51" s="196"/>
      <c r="W51" s="196"/>
      <c r="X51" s="196"/>
      <c r="Y51" s="196"/>
      <c r="Z51" s="196"/>
      <c r="AA51" s="196"/>
      <c r="AB51" s="196"/>
      <c r="AC51" s="196"/>
      <c r="AD51" s="196"/>
      <c r="AE51" s="196"/>
      <c r="AF51" s="196"/>
      <c r="AG51" s="196"/>
      <c r="AH51" s="196"/>
      <c r="AI51" s="196"/>
      <c r="AJ51" s="196"/>
      <c r="AK51" s="196"/>
      <c r="AL51" s="196"/>
      <c r="AM51" s="196"/>
      <c r="AN51" s="196"/>
      <c r="AO51" s="196"/>
      <c r="AP51" s="196"/>
      <c r="AQ51" s="196"/>
      <c r="AR51" s="196"/>
      <c r="AS51" s="196"/>
      <c r="AT51" s="196"/>
      <c r="AU51" s="196"/>
      <c r="AV51" s="196"/>
      <c r="AW51" s="196"/>
      <c r="AX51" s="196"/>
      <c r="AY51" s="196"/>
      <c r="AZ51" s="196"/>
      <c r="BA51" s="196"/>
      <c r="BB51" s="196"/>
      <c r="BC51" s="196"/>
      <c r="BD51" s="196"/>
      <c r="BE51" s="196"/>
      <c r="BF51" s="196"/>
      <c r="BG51" s="196"/>
      <c r="BH51" s="196"/>
      <c r="BI51" s="196"/>
      <c r="BJ51" s="196"/>
      <c r="BK51" s="196"/>
      <c r="BL51" s="196"/>
      <c r="BM51" s="196"/>
      <c r="BN51" s="196"/>
      <c r="BO51" s="196"/>
      <c r="BP51" s="196"/>
      <c r="BQ51" s="196"/>
      <c r="BR51" s="196"/>
      <c r="BS51" s="196"/>
      <c r="BT51" s="196"/>
      <c r="BU51" s="196"/>
      <c r="BV51" s="196"/>
      <c r="BW51" s="196"/>
      <c r="BX51" s="196"/>
      <c r="BY51" s="196"/>
      <c r="BZ51" s="196"/>
      <c r="CA51" s="196"/>
      <c r="CB51" s="196"/>
      <c r="CC51" s="196"/>
      <c r="CD51" s="196"/>
      <c r="CE51" s="196"/>
      <c r="CF51" s="196"/>
      <c r="CG51" s="196"/>
      <c r="CH51" s="196"/>
      <c r="CI51" s="196"/>
      <c r="CJ51" s="196"/>
      <c r="CK51" s="196"/>
      <c r="CL51" s="196"/>
      <c r="CM51" s="196"/>
      <c r="CN51" s="196"/>
      <c r="CO51" s="196"/>
      <c r="CP51" s="196"/>
      <c r="CQ51" s="196"/>
      <c r="CR51" s="196"/>
      <c r="CS51" s="196"/>
      <c r="CT51" s="196"/>
      <c r="CU51" s="196"/>
      <c r="CV51" s="196"/>
      <c r="CW51" s="196"/>
      <c r="CX51" s="196"/>
      <c r="CY51" s="196"/>
      <c r="CZ51" s="196"/>
      <c r="DA51" s="196"/>
      <c r="DB51" s="196"/>
      <c r="DC51" s="196"/>
      <c r="DD51" s="196"/>
      <c r="DE51" s="196"/>
      <c r="DF51" s="196"/>
      <c r="DG51" s="196"/>
      <c r="DH51" s="196"/>
      <c r="DI51" s="196"/>
      <c r="DJ51" s="196"/>
      <c r="DK51" s="196"/>
      <c r="DL51" s="196"/>
      <c r="DM51" s="196"/>
      <c r="DN51" s="196"/>
      <c r="DO51" s="196"/>
      <c r="DP51" s="196"/>
      <c r="DQ51" s="196"/>
      <c r="DR51" s="196"/>
      <c r="DS51" s="196"/>
      <c r="DT51" s="196"/>
      <c r="DU51" s="196"/>
      <c r="DV51" s="196"/>
      <c r="DW51" s="196"/>
      <c r="DX51" s="196"/>
      <c r="DY51" s="196"/>
      <c r="DZ51" s="196"/>
      <c r="EA51" s="196"/>
      <c r="EB51" s="196"/>
      <c r="EC51" s="196"/>
      <c r="ED51" s="196"/>
      <c r="EE51" s="196"/>
      <c r="EF51" s="196"/>
      <c r="EG51" s="196"/>
      <c r="EH51" s="196"/>
      <c r="EI51" s="196"/>
      <c r="EJ51" s="196"/>
      <c r="EK51" s="196"/>
      <c r="EL51" s="196"/>
      <c r="EM51" s="196"/>
      <c r="EN51" s="196"/>
      <c r="EO51" s="196"/>
      <c r="EP51" s="49" t="s">
        <v>33</v>
      </c>
      <c r="EQ51" s="49" t="s">
        <v>33</v>
      </c>
      <c r="ER51" s="49" t="s">
        <v>33</v>
      </c>
      <c r="ES51" s="49" t="s">
        <v>33</v>
      </c>
      <c r="ET51" s="49" t="s">
        <v>33</v>
      </c>
      <c r="EU51" s="49" t="s">
        <v>33</v>
      </c>
      <c r="EV51" s="49" t="s">
        <v>33</v>
      </c>
      <c r="EW51" s="49" t="s">
        <v>33</v>
      </c>
      <c r="EX51" s="49" t="s">
        <v>33</v>
      </c>
      <c r="EY51" s="49" t="s">
        <v>41</v>
      </c>
      <c r="EZ51" s="49" t="s">
        <v>41</v>
      </c>
      <c r="FA51" s="49" t="s">
        <v>41</v>
      </c>
      <c r="FB51" s="49" t="s">
        <v>41</v>
      </c>
      <c r="FC51" s="49" t="s">
        <v>33</v>
      </c>
      <c r="FD51" s="49" t="s">
        <v>33</v>
      </c>
      <c r="FE51" s="13" t="s">
        <v>33</v>
      </c>
      <c r="FF51" s="13" t="s">
        <v>33</v>
      </c>
      <c r="FG51" s="13" t="s">
        <v>33</v>
      </c>
      <c r="FH51" s="13" t="s">
        <v>33</v>
      </c>
      <c r="FI51" s="49" t="s">
        <v>33</v>
      </c>
      <c r="FJ51" s="49" t="s">
        <v>37</v>
      </c>
      <c r="FK51" s="49" t="s">
        <v>41</v>
      </c>
      <c r="FL51" s="49" t="s">
        <v>41</v>
      </c>
      <c r="FM51" s="49" t="s">
        <v>41</v>
      </c>
      <c r="FN51" s="49" t="s">
        <v>41</v>
      </c>
      <c r="FO51" s="49" t="s">
        <v>41</v>
      </c>
      <c r="FP51" s="49" t="s">
        <v>41</v>
      </c>
      <c r="FQ51" s="49" t="s">
        <v>41</v>
      </c>
      <c r="FR51" s="49" t="s">
        <v>41</v>
      </c>
      <c r="FS51" s="49" t="s">
        <v>41</v>
      </c>
      <c r="FT51" s="49" t="s">
        <v>41</v>
      </c>
      <c r="FU51" s="49" t="s">
        <v>41</v>
      </c>
      <c r="FV51" s="49" t="s">
        <v>41</v>
      </c>
      <c r="FW51" s="49" t="s">
        <v>41</v>
      </c>
      <c r="FX51" s="49" t="s">
        <v>41</v>
      </c>
      <c r="FY51" s="49" t="s">
        <v>41</v>
      </c>
      <c r="FZ51" s="49" t="s">
        <v>41</v>
      </c>
      <c r="GA51" s="49" t="s">
        <v>41</v>
      </c>
      <c r="GB51" s="49" t="s">
        <v>41</v>
      </c>
      <c r="GC51" s="13" t="s">
        <v>41</v>
      </c>
      <c r="GD51" s="13" t="s">
        <v>33</v>
      </c>
      <c r="GE51" s="13" t="s">
        <v>33</v>
      </c>
      <c r="GF51" s="13" t="s">
        <v>33</v>
      </c>
      <c r="GG51" s="13" t="s">
        <v>33</v>
      </c>
      <c r="GH51" s="13" t="s">
        <v>33</v>
      </c>
      <c r="GI51" s="13" t="s">
        <v>33</v>
      </c>
      <c r="GJ51" s="13" t="s">
        <v>33</v>
      </c>
    </row>
    <row r="52" s="13" customFormat="true" ht="15.75" hidden="false" customHeight="true" outlineLevel="0" collapsed="false">
      <c r="A52" s="13" t="s">
        <v>266</v>
      </c>
      <c r="B52" s="196"/>
      <c r="C52" s="196"/>
      <c r="D52" s="196"/>
      <c r="E52" s="196"/>
      <c r="F52" s="196"/>
      <c r="G52" s="196"/>
      <c r="H52" s="196"/>
      <c r="I52" s="196"/>
      <c r="J52" s="196"/>
      <c r="K52" s="196"/>
      <c r="L52" s="196"/>
      <c r="M52" s="196"/>
      <c r="N52" s="196"/>
      <c r="O52" s="196"/>
      <c r="P52" s="196"/>
      <c r="Q52" s="196"/>
      <c r="R52" s="196"/>
      <c r="S52" s="196"/>
      <c r="T52" s="196"/>
      <c r="U52" s="196"/>
      <c r="V52" s="196"/>
      <c r="W52" s="196"/>
      <c r="X52" s="196"/>
      <c r="Y52" s="196"/>
      <c r="Z52" s="196"/>
      <c r="AA52" s="196"/>
      <c r="AB52" s="196"/>
      <c r="AC52" s="196"/>
      <c r="AD52" s="196"/>
      <c r="AE52" s="196"/>
      <c r="AF52" s="196"/>
      <c r="AG52" s="196"/>
      <c r="AH52" s="196"/>
      <c r="AI52" s="196"/>
      <c r="AJ52" s="196"/>
      <c r="AK52" s="196"/>
      <c r="AL52" s="196"/>
      <c r="AM52" s="196"/>
      <c r="AN52" s="196"/>
      <c r="AO52" s="196"/>
      <c r="AP52" s="196"/>
      <c r="AQ52" s="196"/>
      <c r="AR52" s="196"/>
      <c r="AS52" s="196"/>
      <c r="AT52" s="196"/>
      <c r="AU52" s="196"/>
      <c r="AV52" s="196"/>
      <c r="AW52" s="196"/>
      <c r="AX52" s="196"/>
      <c r="AY52" s="196"/>
      <c r="AZ52" s="196"/>
      <c r="BA52" s="196"/>
      <c r="BB52" s="196"/>
      <c r="BC52" s="196"/>
      <c r="BD52" s="196"/>
      <c r="BE52" s="196"/>
      <c r="BF52" s="196"/>
      <c r="BG52" s="196"/>
      <c r="BH52" s="196"/>
      <c r="BI52" s="196"/>
      <c r="BJ52" s="196"/>
      <c r="BK52" s="196"/>
      <c r="BL52" s="196"/>
      <c r="BM52" s="196"/>
      <c r="BN52" s="196"/>
      <c r="BO52" s="196"/>
      <c r="BP52" s="196"/>
      <c r="BQ52" s="196"/>
      <c r="BR52" s="196"/>
      <c r="BS52" s="196"/>
      <c r="BT52" s="196"/>
      <c r="BU52" s="196"/>
      <c r="BV52" s="196"/>
      <c r="BW52" s="196"/>
      <c r="BX52" s="196"/>
      <c r="BY52" s="196"/>
      <c r="BZ52" s="196"/>
      <c r="CA52" s="196"/>
      <c r="CB52" s="196"/>
      <c r="CC52" s="196"/>
      <c r="CD52" s="196"/>
      <c r="CE52" s="196"/>
      <c r="CF52" s="196"/>
      <c r="CG52" s="196"/>
      <c r="CH52" s="196"/>
      <c r="CI52" s="196"/>
      <c r="CJ52" s="196"/>
      <c r="CK52" s="196"/>
      <c r="CL52" s="196"/>
      <c r="CM52" s="196"/>
      <c r="CN52" s="196"/>
      <c r="CO52" s="196"/>
      <c r="CP52" s="196"/>
      <c r="CQ52" s="196"/>
      <c r="CR52" s="196"/>
      <c r="CS52" s="196"/>
      <c r="CT52" s="196"/>
      <c r="CU52" s="196"/>
      <c r="CV52" s="196"/>
      <c r="CW52" s="196"/>
      <c r="CX52" s="196"/>
      <c r="CY52" s="196"/>
      <c r="CZ52" s="196"/>
      <c r="DA52" s="196"/>
      <c r="DB52" s="196"/>
      <c r="DC52" s="196"/>
      <c r="DD52" s="196"/>
      <c r="DE52" s="196"/>
      <c r="DF52" s="196"/>
      <c r="DG52" s="196"/>
      <c r="DH52" s="196"/>
      <c r="DI52" s="196"/>
      <c r="DJ52" s="196"/>
      <c r="DK52" s="196"/>
      <c r="DL52" s="196"/>
      <c r="DM52" s="196"/>
      <c r="DN52" s="196"/>
      <c r="DO52" s="196"/>
      <c r="DP52" s="196"/>
      <c r="DQ52" s="196"/>
      <c r="DR52" s="196"/>
      <c r="DS52" s="196"/>
      <c r="DT52" s="196"/>
      <c r="DU52" s="196"/>
      <c r="DV52" s="196"/>
      <c r="DW52" s="196"/>
      <c r="DX52" s="196"/>
      <c r="DY52" s="196"/>
      <c r="DZ52" s="196"/>
      <c r="EA52" s="196"/>
      <c r="EB52" s="196"/>
      <c r="EC52" s="196"/>
      <c r="ED52" s="196"/>
      <c r="EE52" s="196"/>
      <c r="EF52" s="196"/>
      <c r="EG52" s="196"/>
      <c r="EH52" s="196"/>
      <c r="EI52" s="196"/>
      <c r="EJ52" s="196"/>
      <c r="EK52" s="196"/>
      <c r="EL52" s="196"/>
      <c r="EM52" s="196"/>
      <c r="EN52" s="196"/>
      <c r="EO52" s="196"/>
      <c r="EP52" s="49" t="s">
        <v>33</v>
      </c>
      <c r="EQ52" s="49" t="s">
        <v>33</v>
      </c>
      <c r="ER52" s="49" t="s">
        <v>33</v>
      </c>
      <c r="ES52" s="49" t="s">
        <v>33</v>
      </c>
      <c r="ET52" s="49" t="s">
        <v>33</v>
      </c>
      <c r="EU52" s="49" t="s">
        <v>33</v>
      </c>
      <c r="EV52" s="49" t="s">
        <v>33</v>
      </c>
      <c r="EW52" s="49" t="s">
        <v>33</v>
      </c>
      <c r="EX52" s="49" t="s">
        <v>33</v>
      </c>
      <c r="EY52" s="49" t="s">
        <v>33</v>
      </c>
      <c r="EZ52" s="49" t="s">
        <v>33</v>
      </c>
      <c r="FA52" s="49" t="s">
        <v>33</v>
      </c>
      <c r="FB52" s="49" t="s">
        <v>33</v>
      </c>
      <c r="FC52" s="49" t="s">
        <v>33</v>
      </c>
      <c r="FD52" s="49" t="s">
        <v>33</v>
      </c>
      <c r="FE52" s="13" t="s">
        <v>33</v>
      </c>
      <c r="FF52" s="13" t="s">
        <v>33</v>
      </c>
      <c r="FG52" s="13" t="s">
        <v>33</v>
      </c>
      <c r="FH52" s="13" t="s">
        <v>33</v>
      </c>
      <c r="FI52" s="49" t="s">
        <v>33</v>
      </c>
      <c r="FJ52" s="49" t="s">
        <v>33</v>
      </c>
      <c r="FK52" s="49" t="s">
        <v>33</v>
      </c>
      <c r="FL52" s="49" t="s">
        <v>33</v>
      </c>
      <c r="FM52" s="49" t="s">
        <v>33</v>
      </c>
      <c r="FN52" s="49" t="s">
        <v>33</v>
      </c>
      <c r="FO52" s="49" t="s">
        <v>33</v>
      </c>
      <c r="FP52" s="49" t="s">
        <v>33</v>
      </c>
      <c r="FQ52" s="49" t="s">
        <v>33</v>
      </c>
      <c r="FR52" s="49" t="s">
        <v>33</v>
      </c>
      <c r="FS52" s="49" t="s">
        <v>33</v>
      </c>
      <c r="FT52" s="49" t="s">
        <v>33</v>
      </c>
      <c r="FU52" s="49" t="s">
        <v>33</v>
      </c>
      <c r="FV52" s="49" t="s">
        <v>33</v>
      </c>
      <c r="FW52" s="49" t="s">
        <v>33</v>
      </c>
      <c r="FX52" s="49" t="s">
        <v>33</v>
      </c>
      <c r="FY52" s="49" t="s">
        <v>33</v>
      </c>
      <c r="FZ52" s="49" t="s">
        <v>33</v>
      </c>
      <c r="GA52" s="49" t="s">
        <v>33</v>
      </c>
      <c r="GB52" s="49" t="s">
        <v>33</v>
      </c>
      <c r="GC52" s="13" t="s">
        <v>33</v>
      </c>
      <c r="GD52" s="13" t="s">
        <v>33</v>
      </c>
      <c r="GE52" s="13" t="s">
        <v>33</v>
      </c>
      <c r="GF52" s="13" t="s">
        <v>33</v>
      </c>
      <c r="GG52" s="13" t="s">
        <v>33</v>
      </c>
      <c r="GH52" s="13" t="s">
        <v>33</v>
      </c>
      <c r="GI52" s="13" t="s">
        <v>33</v>
      </c>
      <c r="GJ52" s="13" t="s">
        <v>37</v>
      </c>
    </row>
    <row r="53" s="13" customFormat="true" ht="15.75" hidden="false" customHeight="true" outlineLevel="0" collapsed="false">
      <c r="A53" s="13" t="s">
        <v>269</v>
      </c>
      <c r="B53" s="196"/>
      <c r="C53" s="196"/>
      <c r="D53" s="196"/>
      <c r="E53" s="196"/>
      <c r="F53" s="196"/>
      <c r="G53" s="196"/>
      <c r="H53" s="196"/>
      <c r="I53" s="196"/>
      <c r="J53" s="196"/>
      <c r="K53" s="196"/>
      <c r="L53" s="196"/>
      <c r="M53" s="196"/>
      <c r="N53" s="196"/>
      <c r="O53" s="196"/>
      <c r="P53" s="196"/>
      <c r="Q53" s="196"/>
      <c r="R53" s="196"/>
      <c r="S53" s="196"/>
      <c r="T53" s="196"/>
      <c r="U53" s="196"/>
      <c r="V53" s="196"/>
      <c r="W53" s="196"/>
      <c r="X53" s="196"/>
      <c r="Y53" s="196"/>
      <c r="Z53" s="196"/>
      <c r="AA53" s="196"/>
      <c r="AB53" s="196"/>
      <c r="AC53" s="196"/>
      <c r="AD53" s="196"/>
      <c r="AE53" s="196"/>
      <c r="AF53" s="196"/>
      <c r="AG53" s="196"/>
      <c r="AH53" s="196"/>
      <c r="AI53" s="196"/>
      <c r="AJ53" s="196"/>
      <c r="AK53" s="196"/>
      <c r="AL53" s="196"/>
      <c r="AM53" s="196"/>
      <c r="AN53" s="196"/>
      <c r="AO53" s="196"/>
      <c r="AP53" s="196"/>
      <c r="AQ53" s="196"/>
      <c r="AR53" s="196"/>
      <c r="AS53" s="196"/>
      <c r="AT53" s="196"/>
      <c r="AU53" s="196"/>
      <c r="AV53" s="196"/>
      <c r="AW53" s="196"/>
      <c r="AX53" s="196"/>
      <c r="AY53" s="196"/>
      <c r="AZ53" s="196"/>
      <c r="BA53" s="196"/>
      <c r="BB53" s="196"/>
      <c r="BC53" s="196"/>
      <c r="BD53" s="196"/>
      <c r="BE53" s="196"/>
      <c r="BF53" s="196"/>
      <c r="BG53" s="196"/>
      <c r="BH53" s="196"/>
      <c r="BI53" s="196"/>
      <c r="BJ53" s="196"/>
      <c r="BK53" s="196"/>
      <c r="BL53" s="196"/>
      <c r="BM53" s="196"/>
      <c r="BN53" s="196"/>
      <c r="BO53" s="196"/>
      <c r="BP53" s="196"/>
      <c r="BQ53" s="196"/>
      <c r="BR53" s="196"/>
      <c r="BS53" s="196"/>
      <c r="BT53" s="196"/>
      <c r="BU53" s="196"/>
      <c r="BV53" s="196"/>
      <c r="BW53" s="196"/>
      <c r="BX53" s="196"/>
      <c r="BY53" s="196"/>
      <c r="BZ53" s="196"/>
      <c r="CA53" s="196"/>
      <c r="CB53" s="196"/>
      <c r="CC53" s="196"/>
      <c r="CD53" s="196"/>
      <c r="CE53" s="196"/>
      <c r="CF53" s="196"/>
      <c r="CG53" s="196"/>
      <c r="CH53" s="196"/>
      <c r="CI53" s="196"/>
      <c r="CJ53" s="196"/>
      <c r="CK53" s="196"/>
      <c r="CL53" s="196"/>
      <c r="CM53" s="196"/>
      <c r="CN53" s="196"/>
      <c r="CO53" s="196"/>
      <c r="CP53" s="196"/>
      <c r="CQ53" s="196"/>
      <c r="CR53" s="196"/>
      <c r="CS53" s="196"/>
      <c r="CT53" s="196"/>
      <c r="CU53" s="196"/>
      <c r="CV53" s="196"/>
      <c r="CW53" s="196"/>
      <c r="CX53" s="196"/>
      <c r="CY53" s="196"/>
      <c r="CZ53" s="196"/>
      <c r="DA53" s="196"/>
      <c r="DB53" s="196"/>
      <c r="DC53" s="196"/>
      <c r="DD53" s="196"/>
      <c r="DE53" s="196"/>
      <c r="DF53" s="196"/>
      <c r="DG53" s="196"/>
      <c r="DH53" s="196"/>
      <c r="DI53" s="196"/>
      <c r="DJ53" s="196"/>
      <c r="DK53" s="196"/>
      <c r="DL53" s="196"/>
      <c r="DM53" s="196"/>
      <c r="DN53" s="196"/>
      <c r="DO53" s="196"/>
      <c r="DP53" s="196"/>
      <c r="DQ53" s="196"/>
      <c r="DR53" s="196"/>
      <c r="DS53" s="196"/>
      <c r="DT53" s="196"/>
      <c r="DU53" s="196"/>
      <c r="DV53" s="196"/>
      <c r="DW53" s="196"/>
      <c r="DX53" s="196"/>
      <c r="DY53" s="196"/>
      <c r="DZ53" s="196"/>
      <c r="EA53" s="196"/>
      <c r="EB53" s="196"/>
      <c r="EC53" s="196"/>
      <c r="ED53" s="196"/>
      <c r="EE53" s="196"/>
      <c r="EF53" s="196"/>
      <c r="EG53" s="196"/>
      <c r="EH53" s="196"/>
      <c r="EI53" s="196"/>
      <c r="EJ53" s="196"/>
      <c r="EK53" s="196"/>
      <c r="EL53" s="196"/>
      <c r="EM53" s="196"/>
      <c r="EN53" s="196"/>
      <c r="EO53" s="196"/>
      <c r="EP53" s="49" t="s">
        <v>33</v>
      </c>
      <c r="EQ53" s="49" t="s">
        <v>33</v>
      </c>
      <c r="ER53" s="49" t="s">
        <v>33</v>
      </c>
      <c r="ES53" s="49" t="s">
        <v>33</v>
      </c>
      <c r="ET53" s="49" t="s">
        <v>33</v>
      </c>
      <c r="EU53" s="49" t="s">
        <v>33</v>
      </c>
      <c r="EV53" s="49" t="s">
        <v>33</v>
      </c>
      <c r="EW53" s="49" t="s">
        <v>33</v>
      </c>
      <c r="EX53" s="49" t="s">
        <v>33</v>
      </c>
      <c r="EY53" s="49" t="s">
        <v>33</v>
      </c>
      <c r="EZ53" s="49" t="s">
        <v>33</v>
      </c>
      <c r="FA53" s="49" t="s">
        <v>33</v>
      </c>
      <c r="FB53" s="49" t="s">
        <v>33</v>
      </c>
      <c r="FC53" s="49" t="s">
        <v>41</v>
      </c>
      <c r="FD53" s="49" t="s">
        <v>33</v>
      </c>
      <c r="FE53" s="13" t="s">
        <v>33</v>
      </c>
      <c r="FF53" s="13" t="s">
        <v>37</v>
      </c>
      <c r="FG53" s="13" t="s">
        <v>33</v>
      </c>
      <c r="FH53" s="13" t="s">
        <v>33</v>
      </c>
      <c r="FI53" s="49" t="s">
        <v>33</v>
      </c>
      <c r="FJ53" s="49" t="s">
        <v>33</v>
      </c>
      <c r="FK53" s="49" t="s">
        <v>33</v>
      </c>
      <c r="FL53" s="49" t="s">
        <v>33</v>
      </c>
      <c r="FM53" s="49" t="s">
        <v>33</v>
      </c>
      <c r="FN53" s="49" t="s">
        <v>33</v>
      </c>
      <c r="FO53" s="49" t="s">
        <v>33</v>
      </c>
      <c r="FP53" s="49" t="s">
        <v>33</v>
      </c>
      <c r="FQ53" s="49" t="s">
        <v>33</v>
      </c>
      <c r="FR53" s="49" t="s">
        <v>33</v>
      </c>
      <c r="FS53" s="49" t="s">
        <v>33</v>
      </c>
      <c r="FT53" s="49" t="s">
        <v>33</v>
      </c>
      <c r="FU53" s="49" t="s">
        <v>33</v>
      </c>
      <c r="FV53" s="49" t="s">
        <v>33</v>
      </c>
      <c r="FW53" s="49" t="s">
        <v>33</v>
      </c>
      <c r="FX53" s="49" t="s">
        <v>33</v>
      </c>
      <c r="FY53" s="49" t="s">
        <v>33</v>
      </c>
      <c r="FZ53" s="49" t="s">
        <v>33</v>
      </c>
      <c r="GA53" s="49" t="s">
        <v>33</v>
      </c>
      <c r="GB53" s="49" t="s">
        <v>33</v>
      </c>
      <c r="GC53" s="13" t="s">
        <v>33</v>
      </c>
      <c r="GD53" s="13" t="s">
        <v>33</v>
      </c>
      <c r="GE53" s="13" t="s">
        <v>33</v>
      </c>
      <c r="GF53" s="13" t="s">
        <v>33</v>
      </c>
      <c r="GG53" s="13" t="s">
        <v>33</v>
      </c>
      <c r="GH53" s="13" t="s">
        <v>33</v>
      </c>
      <c r="GI53" s="13" t="s">
        <v>33</v>
      </c>
      <c r="GJ53" s="13" t="s">
        <v>33</v>
      </c>
    </row>
    <row r="54" s="13" customFormat="true" ht="15.75" hidden="false" customHeight="true" outlineLevel="0" collapsed="false">
      <c r="A54" s="13" t="s">
        <v>272</v>
      </c>
      <c r="B54" s="196"/>
      <c r="C54" s="196"/>
      <c r="D54" s="196"/>
      <c r="E54" s="196"/>
      <c r="F54" s="196"/>
      <c r="G54" s="196"/>
      <c r="H54" s="196"/>
      <c r="I54" s="196"/>
      <c r="J54" s="196"/>
      <c r="K54" s="196"/>
      <c r="L54" s="196"/>
      <c r="M54" s="196"/>
      <c r="N54" s="196"/>
      <c r="O54" s="196"/>
      <c r="P54" s="196"/>
      <c r="Q54" s="196"/>
      <c r="R54" s="196"/>
      <c r="S54" s="196"/>
      <c r="T54" s="196"/>
      <c r="U54" s="196"/>
      <c r="V54" s="196"/>
      <c r="W54" s="196"/>
      <c r="X54" s="196"/>
      <c r="Y54" s="196"/>
      <c r="Z54" s="196"/>
      <c r="AA54" s="196"/>
      <c r="AB54" s="196"/>
      <c r="AC54" s="196"/>
      <c r="AD54" s="196"/>
      <c r="AE54" s="196"/>
      <c r="AF54" s="196"/>
      <c r="AG54" s="196"/>
      <c r="AH54" s="196"/>
      <c r="AI54" s="196"/>
      <c r="AJ54" s="196"/>
      <c r="AK54" s="196"/>
      <c r="AL54" s="196"/>
      <c r="AM54" s="196"/>
      <c r="AN54" s="196"/>
      <c r="AO54" s="196"/>
      <c r="AP54" s="196"/>
      <c r="AQ54" s="196"/>
      <c r="AR54" s="196"/>
      <c r="AS54" s="196"/>
      <c r="AT54" s="196"/>
      <c r="AU54" s="196"/>
      <c r="AV54" s="196"/>
      <c r="AW54" s="196"/>
      <c r="AX54" s="196"/>
      <c r="AY54" s="196"/>
      <c r="AZ54" s="196"/>
      <c r="BA54" s="196"/>
      <c r="BB54" s="196"/>
      <c r="BC54" s="196"/>
      <c r="BD54" s="196"/>
      <c r="BE54" s="196"/>
      <c r="BF54" s="196"/>
      <c r="BG54" s="196"/>
      <c r="BH54" s="196"/>
      <c r="BI54" s="196"/>
      <c r="BJ54" s="196"/>
      <c r="BK54" s="196"/>
      <c r="BL54" s="196"/>
      <c r="BM54" s="196"/>
      <c r="BN54" s="196"/>
      <c r="BO54" s="196"/>
      <c r="BP54" s="196"/>
      <c r="BQ54" s="196"/>
      <c r="BR54" s="196"/>
      <c r="BS54" s="196"/>
      <c r="BT54" s="196"/>
      <c r="BU54" s="196"/>
      <c r="BV54" s="196"/>
      <c r="BW54" s="196"/>
      <c r="BX54" s="196"/>
      <c r="BY54" s="196"/>
      <c r="BZ54" s="196"/>
      <c r="CA54" s="196"/>
      <c r="CB54" s="196"/>
      <c r="CC54" s="196"/>
      <c r="CD54" s="196"/>
      <c r="CE54" s="196"/>
      <c r="CF54" s="196"/>
      <c r="CG54" s="196"/>
      <c r="CH54" s="196"/>
      <c r="CI54" s="196"/>
      <c r="CJ54" s="196"/>
      <c r="CK54" s="196"/>
      <c r="CL54" s="196"/>
      <c r="CM54" s="196"/>
      <c r="CN54" s="196"/>
      <c r="CO54" s="196"/>
      <c r="CP54" s="196"/>
      <c r="CQ54" s="196"/>
      <c r="CR54" s="196"/>
      <c r="CS54" s="196"/>
      <c r="CT54" s="196"/>
      <c r="CU54" s="196"/>
      <c r="CV54" s="196"/>
      <c r="CW54" s="196"/>
      <c r="CX54" s="196"/>
      <c r="CY54" s="196"/>
      <c r="CZ54" s="196"/>
      <c r="DA54" s="196"/>
      <c r="DB54" s="196"/>
      <c r="DC54" s="196"/>
      <c r="DD54" s="196"/>
      <c r="DE54" s="196"/>
      <c r="DF54" s="196"/>
      <c r="DG54" s="196"/>
      <c r="DH54" s="196"/>
      <c r="DI54" s="196"/>
      <c r="DJ54" s="196"/>
      <c r="DK54" s="196"/>
      <c r="DL54" s="196"/>
      <c r="DM54" s="196"/>
      <c r="DN54" s="196"/>
      <c r="DO54" s="196"/>
      <c r="DP54" s="196"/>
      <c r="DQ54" s="196"/>
      <c r="DR54" s="196"/>
      <c r="DS54" s="196"/>
      <c r="DT54" s="196"/>
      <c r="DU54" s="196"/>
      <c r="DV54" s="196"/>
      <c r="DW54" s="196"/>
      <c r="DX54" s="196"/>
      <c r="DY54" s="196"/>
      <c r="DZ54" s="196"/>
      <c r="EA54" s="196"/>
      <c r="EB54" s="196"/>
      <c r="EC54" s="196"/>
      <c r="ED54" s="196"/>
      <c r="EE54" s="196"/>
      <c r="EF54" s="196"/>
      <c r="EG54" s="196"/>
      <c r="EH54" s="196"/>
      <c r="EI54" s="196"/>
      <c r="EJ54" s="196"/>
      <c r="EK54" s="196"/>
      <c r="EL54" s="196"/>
      <c r="EM54" s="196"/>
      <c r="EN54" s="196"/>
      <c r="EO54" s="196"/>
      <c r="EP54" s="49" t="s">
        <v>41</v>
      </c>
      <c r="EQ54" s="49" t="s">
        <v>41</v>
      </c>
      <c r="ER54" s="49" t="s">
        <v>41</v>
      </c>
      <c r="ES54" s="49" t="s">
        <v>41</v>
      </c>
      <c r="ET54" s="49" t="s">
        <v>41</v>
      </c>
      <c r="EU54" s="49" t="s">
        <v>41</v>
      </c>
      <c r="EV54" s="49" t="s">
        <v>41</v>
      </c>
      <c r="EW54" s="49" t="s">
        <v>41</v>
      </c>
      <c r="EX54" s="49" t="s">
        <v>41</v>
      </c>
      <c r="EY54" s="49" t="s">
        <v>41</v>
      </c>
      <c r="EZ54" s="49" t="s">
        <v>41</v>
      </c>
      <c r="FA54" s="49" t="s">
        <v>41</v>
      </c>
      <c r="FB54" s="49" t="s">
        <v>41</v>
      </c>
      <c r="FC54" s="49" t="s">
        <v>41</v>
      </c>
      <c r="FD54" s="49" t="s">
        <v>33</v>
      </c>
      <c r="FE54" s="13" t="s">
        <v>33</v>
      </c>
      <c r="FF54" s="13" t="s">
        <v>33</v>
      </c>
      <c r="FG54" s="13" t="s">
        <v>33</v>
      </c>
      <c r="FH54" s="13" t="s">
        <v>33</v>
      </c>
      <c r="FI54" s="49" t="s">
        <v>33</v>
      </c>
      <c r="FJ54" s="49" t="s">
        <v>33</v>
      </c>
      <c r="FK54" s="49" t="s">
        <v>33</v>
      </c>
      <c r="FL54" s="49" t="s">
        <v>33</v>
      </c>
      <c r="FM54" s="49" t="s">
        <v>33</v>
      </c>
      <c r="FN54" s="49" t="s">
        <v>33</v>
      </c>
      <c r="FO54" s="49" t="s">
        <v>33</v>
      </c>
      <c r="FP54" s="49" t="s">
        <v>33</v>
      </c>
      <c r="FQ54" s="49" t="s">
        <v>33</v>
      </c>
      <c r="FR54" s="49" t="s">
        <v>33</v>
      </c>
      <c r="FS54" s="49" t="s">
        <v>33</v>
      </c>
      <c r="FT54" s="49" t="s">
        <v>33</v>
      </c>
      <c r="FU54" s="49" t="s">
        <v>33</v>
      </c>
      <c r="FV54" s="49" t="s">
        <v>33</v>
      </c>
      <c r="FW54" s="49" t="s">
        <v>33</v>
      </c>
      <c r="FX54" s="49" t="s">
        <v>33</v>
      </c>
      <c r="FY54" s="49" t="s">
        <v>33</v>
      </c>
      <c r="FZ54" s="49" t="s">
        <v>33</v>
      </c>
      <c r="GA54" s="49" t="s">
        <v>33</v>
      </c>
      <c r="GB54" s="49" t="s">
        <v>33</v>
      </c>
      <c r="GC54" s="13" t="s">
        <v>33</v>
      </c>
      <c r="GD54" s="13" t="s">
        <v>33</v>
      </c>
      <c r="GE54" s="13" t="s">
        <v>33</v>
      </c>
      <c r="GF54" s="13" t="s">
        <v>33</v>
      </c>
      <c r="GG54" s="13" t="s">
        <v>33</v>
      </c>
      <c r="GH54" s="13" t="s">
        <v>33</v>
      </c>
      <c r="GI54" s="13" t="s">
        <v>33</v>
      </c>
      <c r="GJ54" s="13" t="s">
        <v>33</v>
      </c>
    </row>
    <row r="55" s="13" customFormat="true" ht="15.75" hidden="false" customHeight="true" outlineLevel="0" collapsed="false">
      <c r="A55" s="13" t="s">
        <v>275</v>
      </c>
      <c r="B55" s="196"/>
      <c r="C55" s="196"/>
      <c r="D55" s="196"/>
      <c r="E55" s="196"/>
      <c r="F55" s="196"/>
      <c r="G55" s="196"/>
      <c r="H55" s="196"/>
      <c r="I55" s="196"/>
      <c r="J55" s="196"/>
      <c r="K55" s="196"/>
      <c r="L55" s="196"/>
      <c r="M55" s="196"/>
      <c r="N55" s="196"/>
      <c r="O55" s="196"/>
      <c r="P55" s="196"/>
      <c r="Q55" s="196"/>
      <c r="R55" s="196"/>
      <c r="S55" s="196"/>
      <c r="T55" s="196"/>
      <c r="U55" s="196"/>
      <c r="V55" s="196"/>
      <c r="W55" s="196"/>
      <c r="X55" s="196"/>
      <c r="Y55" s="196"/>
      <c r="Z55" s="196"/>
      <c r="AA55" s="196"/>
      <c r="AB55" s="196"/>
      <c r="AC55" s="196"/>
      <c r="AD55" s="196"/>
      <c r="AE55" s="196"/>
      <c r="AF55" s="196"/>
      <c r="AG55" s="196"/>
      <c r="AH55" s="196"/>
      <c r="AI55" s="196"/>
      <c r="AJ55" s="196"/>
      <c r="AK55" s="196"/>
      <c r="AL55" s="196"/>
      <c r="AM55" s="196"/>
      <c r="AN55" s="196"/>
      <c r="AO55" s="196"/>
      <c r="AP55" s="196"/>
      <c r="AQ55" s="196"/>
      <c r="AR55" s="196"/>
      <c r="AS55" s="196"/>
      <c r="AT55" s="196"/>
      <c r="AU55" s="196"/>
      <c r="AV55" s="196"/>
      <c r="AW55" s="196"/>
      <c r="AX55" s="196"/>
      <c r="AY55" s="196"/>
      <c r="AZ55" s="196"/>
      <c r="BA55" s="196"/>
      <c r="BB55" s="196"/>
      <c r="BC55" s="196"/>
      <c r="BD55" s="196"/>
      <c r="BE55" s="196"/>
      <c r="BF55" s="196"/>
      <c r="BG55" s="196"/>
      <c r="BH55" s="196"/>
      <c r="BI55" s="196"/>
      <c r="BJ55" s="196"/>
      <c r="BK55" s="196"/>
      <c r="BL55" s="196"/>
      <c r="BM55" s="196"/>
      <c r="BN55" s="196"/>
      <c r="BO55" s="196"/>
      <c r="BP55" s="196"/>
      <c r="BQ55" s="196"/>
      <c r="BR55" s="196"/>
      <c r="BS55" s="196"/>
      <c r="BT55" s="196"/>
      <c r="BU55" s="196"/>
      <c r="BV55" s="196"/>
      <c r="BW55" s="196"/>
      <c r="BX55" s="196"/>
      <c r="BY55" s="196"/>
      <c r="BZ55" s="196"/>
      <c r="CA55" s="196"/>
      <c r="CB55" s="196"/>
      <c r="CC55" s="196"/>
      <c r="CD55" s="196"/>
      <c r="CE55" s="196"/>
      <c r="CF55" s="196"/>
      <c r="CG55" s="196"/>
      <c r="CH55" s="196"/>
      <c r="CI55" s="196"/>
      <c r="CJ55" s="196"/>
      <c r="CK55" s="196"/>
      <c r="CL55" s="196"/>
      <c r="CM55" s="196"/>
      <c r="CN55" s="196"/>
      <c r="CO55" s="196"/>
      <c r="CP55" s="196"/>
      <c r="CQ55" s="196"/>
      <c r="CR55" s="196"/>
      <c r="CS55" s="196"/>
      <c r="CT55" s="196"/>
      <c r="CU55" s="196"/>
      <c r="CV55" s="196"/>
      <c r="CW55" s="196"/>
      <c r="CX55" s="196"/>
      <c r="CY55" s="196"/>
      <c r="CZ55" s="196"/>
      <c r="DA55" s="196"/>
      <c r="DB55" s="196"/>
      <c r="DC55" s="196"/>
      <c r="DD55" s="196"/>
      <c r="DE55" s="196"/>
      <c r="DF55" s="196"/>
      <c r="DG55" s="196"/>
      <c r="DH55" s="196"/>
      <c r="DI55" s="196"/>
      <c r="DJ55" s="196"/>
      <c r="DK55" s="196"/>
      <c r="DL55" s="196"/>
      <c r="DM55" s="196"/>
      <c r="DN55" s="196"/>
      <c r="DO55" s="196"/>
      <c r="DP55" s="196"/>
      <c r="DQ55" s="196"/>
      <c r="DR55" s="196"/>
      <c r="DS55" s="196"/>
      <c r="DT55" s="196"/>
      <c r="DU55" s="196"/>
      <c r="DV55" s="196"/>
      <c r="DW55" s="196"/>
      <c r="DX55" s="196"/>
      <c r="DY55" s="196"/>
      <c r="DZ55" s="196"/>
      <c r="EA55" s="196"/>
      <c r="EB55" s="196"/>
      <c r="EC55" s="196"/>
      <c r="ED55" s="196"/>
      <c r="EE55" s="196"/>
      <c r="EF55" s="196"/>
      <c r="EG55" s="196"/>
      <c r="EH55" s="196"/>
      <c r="EI55" s="196"/>
      <c r="EJ55" s="196"/>
      <c r="EK55" s="196"/>
      <c r="EL55" s="196"/>
      <c r="EM55" s="196"/>
      <c r="EN55" s="196"/>
      <c r="EO55" s="196"/>
      <c r="EP55" s="49" t="s">
        <v>33</v>
      </c>
      <c r="EQ55" s="49" t="s">
        <v>33</v>
      </c>
      <c r="ER55" s="49" t="s">
        <v>33</v>
      </c>
      <c r="ES55" s="49" t="s">
        <v>33</v>
      </c>
      <c r="ET55" s="49" t="s">
        <v>33</v>
      </c>
      <c r="EU55" s="49" t="s">
        <v>33</v>
      </c>
      <c r="EV55" s="49" t="s">
        <v>33</v>
      </c>
      <c r="EW55" s="49" t="s">
        <v>33</v>
      </c>
      <c r="EX55" s="49" t="s">
        <v>33</v>
      </c>
      <c r="EY55" s="49" t="s">
        <v>33</v>
      </c>
      <c r="EZ55" s="49" t="s">
        <v>33</v>
      </c>
      <c r="FA55" s="49" t="s">
        <v>33</v>
      </c>
      <c r="FB55" s="49" t="s">
        <v>33</v>
      </c>
      <c r="FC55" s="49" t="s">
        <v>33</v>
      </c>
      <c r="FD55" s="49" t="s">
        <v>33</v>
      </c>
      <c r="FE55" s="13" t="s">
        <v>33</v>
      </c>
      <c r="FF55" s="13" t="s">
        <v>33</v>
      </c>
      <c r="FG55" s="13" t="s">
        <v>33</v>
      </c>
      <c r="FH55" s="13" t="s">
        <v>33</v>
      </c>
      <c r="FI55" s="49" t="s">
        <v>33</v>
      </c>
      <c r="FJ55" s="49" t="s">
        <v>33</v>
      </c>
      <c r="FK55" s="49" t="s">
        <v>33</v>
      </c>
      <c r="FL55" s="49" t="s">
        <v>33</v>
      </c>
      <c r="FM55" s="49" t="s">
        <v>33</v>
      </c>
      <c r="FN55" s="49" t="s">
        <v>33</v>
      </c>
      <c r="FO55" s="49" t="s">
        <v>33</v>
      </c>
      <c r="FP55" s="49" t="s">
        <v>33</v>
      </c>
      <c r="FQ55" s="49" t="s">
        <v>33</v>
      </c>
      <c r="FR55" s="49" t="s">
        <v>33</v>
      </c>
      <c r="FS55" s="49" t="s">
        <v>33</v>
      </c>
      <c r="FT55" s="49" t="s">
        <v>33</v>
      </c>
      <c r="FU55" s="49" t="s">
        <v>33</v>
      </c>
      <c r="FV55" s="49" t="s">
        <v>41</v>
      </c>
      <c r="FW55" s="49" t="s">
        <v>41</v>
      </c>
      <c r="FX55" s="49" t="s">
        <v>41</v>
      </c>
      <c r="FY55" s="49" t="s">
        <v>41</v>
      </c>
      <c r="FZ55" s="49" t="s">
        <v>41</v>
      </c>
      <c r="GA55" s="49" t="s">
        <v>41</v>
      </c>
      <c r="GB55" s="49" t="s">
        <v>41</v>
      </c>
      <c r="GC55" s="13" t="s">
        <v>33</v>
      </c>
      <c r="GD55" s="13" t="s">
        <v>33</v>
      </c>
      <c r="GE55" s="13" t="s">
        <v>33</v>
      </c>
      <c r="GF55" s="13" t="s">
        <v>33</v>
      </c>
      <c r="GG55" s="13" t="s">
        <v>33</v>
      </c>
      <c r="GH55" s="13" t="s">
        <v>33</v>
      </c>
      <c r="GI55" s="59" t="s">
        <v>841</v>
      </c>
      <c r="GJ55" s="59" t="s">
        <v>841</v>
      </c>
    </row>
    <row r="56" s="13" customFormat="true" ht="15.75" hidden="false" customHeight="true" outlineLevel="0" collapsed="false">
      <c r="A56" s="13" t="s">
        <v>278</v>
      </c>
      <c r="B56" s="196"/>
      <c r="C56" s="196"/>
      <c r="D56" s="196"/>
      <c r="E56" s="196"/>
      <c r="F56" s="196"/>
      <c r="G56" s="196"/>
      <c r="H56" s="196"/>
      <c r="I56" s="196"/>
      <c r="J56" s="196"/>
      <c r="K56" s="196"/>
      <c r="L56" s="196"/>
      <c r="M56" s="196"/>
      <c r="N56" s="196"/>
      <c r="O56" s="196"/>
      <c r="P56" s="196"/>
      <c r="Q56" s="196"/>
      <c r="R56" s="196"/>
      <c r="S56" s="196"/>
      <c r="T56" s="196"/>
      <c r="U56" s="196"/>
      <c r="V56" s="196"/>
      <c r="W56" s="196"/>
      <c r="X56" s="196"/>
      <c r="Y56" s="196"/>
      <c r="Z56" s="196"/>
      <c r="AA56" s="196"/>
      <c r="AB56" s="196"/>
      <c r="AC56" s="196"/>
      <c r="AD56" s="196"/>
      <c r="AE56" s="196"/>
      <c r="AF56" s="196"/>
      <c r="AG56" s="196"/>
      <c r="AH56" s="196"/>
      <c r="AI56" s="196"/>
      <c r="AJ56" s="196"/>
      <c r="AK56" s="196"/>
      <c r="AL56" s="196"/>
      <c r="AM56" s="196"/>
      <c r="AN56" s="196"/>
      <c r="AO56" s="196"/>
      <c r="AP56" s="196"/>
      <c r="AQ56" s="196"/>
      <c r="AR56" s="196"/>
      <c r="AS56" s="196"/>
      <c r="AT56" s="196"/>
      <c r="AU56" s="196"/>
      <c r="AV56" s="196"/>
      <c r="AW56" s="196"/>
      <c r="AX56" s="196"/>
      <c r="AY56" s="196"/>
      <c r="AZ56" s="196"/>
      <c r="BA56" s="196"/>
      <c r="BB56" s="196"/>
      <c r="BC56" s="196"/>
      <c r="BD56" s="196"/>
      <c r="BE56" s="196"/>
      <c r="BF56" s="196"/>
      <c r="BG56" s="196"/>
      <c r="BH56" s="196"/>
      <c r="BI56" s="196"/>
      <c r="BJ56" s="196"/>
      <c r="BK56" s="196"/>
      <c r="BL56" s="196"/>
      <c r="BM56" s="196"/>
      <c r="BN56" s="196"/>
      <c r="BO56" s="196"/>
      <c r="BP56" s="196"/>
      <c r="BQ56" s="196"/>
      <c r="BR56" s="196"/>
      <c r="BS56" s="196"/>
      <c r="BT56" s="196"/>
      <c r="BU56" s="196"/>
      <c r="BV56" s="196"/>
      <c r="BW56" s="196"/>
      <c r="BX56" s="196"/>
      <c r="BY56" s="196"/>
      <c r="BZ56" s="196"/>
      <c r="CA56" s="196"/>
      <c r="CB56" s="196"/>
      <c r="CC56" s="196"/>
      <c r="CD56" s="196"/>
      <c r="CE56" s="196"/>
      <c r="CF56" s="196"/>
      <c r="CG56" s="196"/>
      <c r="CH56" s="196"/>
      <c r="CI56" s="196"/>
      <c r="CJ56" s="196"/>
      <c r="CK56" s="196"/>
      <c r="CL56" s="196"/>
      <c r="CM56" s="196"/>
      <c r="CN56" s="196"/>
      <c r="CO56" s="196"/>
      <c r="CP56" s="196"/>
      <c r="CQ56" s="196"/>
      <c r="CR56" s="196"/>
      <c r="CS56" s="196"/>
      <c r="CT56" s="196"/>
      <c r="CU56" s="196"/>
      <c r="CV56" s="196"/>
      <c r="CW56" s="196"/>
      <c r="CX56" s="196"/>
      <c r="CY56" s="196"/>
      <c r="CZ56" s="196"/>
      <c r="DA56" s="196"/>
      <c r="DB56" s="196"/>
      <c r="DC56" s="196"/>
      <c r="DD56" s="196"/>
      <c r="DE56" s="196"/>
      <c r="DF56" s="196"/>
      <c r="DG56" s="196"/>
      <c r="DH56" s="196"/>
      <c r="DI56" s="196"/>
      <c r="DJ56" s="196"/>
      <c r="DK56" s="196"/>
      <c r="DL56" s="196"/>
      <c r="DM56" s="196"/>
      <c r="DN56" s="196"/>
      <c r="DO56" s="196"/>
      <c r="DP56" s="196"/>
      <c r="DQ56" s="196"/>
      <c r="DR56" s="196"/>
      <c r="DS56" s="196"/>
      <c r="DT56" s="196"/>
      <c r="DU56" s="196"/>
      <c r="DV56" s="196"/>
      <c r="DW56" s="196"/>
      <c r="DX56" s="196"/>
      <c r="DY56" s="196"/>
      <c r="DZ56" s="196"/>
      <c r="EA56" s="196"/>
      <c r="EB56" s="196"/>
      <c r="EC56" s="196"/>
      <c r="ED56" s="196"/>
      <c r="EE56" s="196"/>
      <c r="EF56" s="196"/>
      <c r="EG56" s="196"/>
      <c r="EH56" s="196"/>
      <c r="EI56" s="196"/>
      <c r="EJ56" s="196"/>
      <c r="EK56" s="196"/>
      <c r="EL56" s="196"/>
      <c r="EM56" s="196"/>
      <c r="EN56" s="196"/>
      <c r="EO56" s="196"/>
      <c r="EP56" s="49" t="s">
        <v>33</v>
      </c>
      <c r="EQ56" s="49" t="s">
        <v>33</v>
      </c>
      <c r="ER56" s="49" t="s">
        <v>33</v>
      </c>
      <c r="ES56" s="49" t="s">
        <v>33</v>
      </c>
      <c r="ET56" s="49" t="s">
        <v>33</v>
      </c>
      <c r="EU56" s="49" t="s">
        <v>33</v>
      </c>
      <c r="EV56" s="49" t="s">
        <v>33</v>
      </c>
      <c r="EW56" s="49" t="s">
        <v>33</v>
      </c>
      <c r="EX56" s="49" t="s">
        <v>33</v>
      </c>
      <c r="EY56" s="49" t="s">
        <v>33</v>
      </c>
      <c r="EZ56" s="49" t="s">
        <v>33</v>
      </c>
      <c r="FA56" s="49" t="s">
        <v>33</v>
      </c>
      <c r="FB56" s="49" t="s">
        <v>33</v>
      </c>
      <c r="FC56" s="49" t="s">
        <v>33</v>
      </c>
      <c r="FD56" s="49" t="s">
        <v>33</v>
      </c>
      <c r="FE56" s="13" t="s">
        <v>33</v>
      </c>
      <c r="FF56" s="13" t="s">
        <v>33</v>
      </c>
      <c r="FG56" s="13" t="s">
        <v>33</v>
      </c>
      <c r="FH56" s="13" t="s">
        <v>33</v>
      </c>
      <c r="FI56" s="49" t="s">
        <v>33</v>
      </c>
      <c r="FJ56" s="49" t="s">
        <v>33</v>
      </c>
      <c r="FK56" s="49" t="s">
        <v>33</v>
      </c>
      <c r="FL56" s="49" t="s">
        <v>33</v>
      </c>
      <c r="FM56" s="49" t="s">
        <v>33</v>
      </c>
      <c r="FN56" s="49" t="s">
        <v>33</v>
      </c>
      <c r="FO56" s="49" t="s">
        <v>33</v>
      </c>
      <c r="FP56" s="49" t="s">
        <v>33</v>
      </c>
      <c r="FQ56" s="49" t="s">
        <v>33</v>
      </c>
      <c r="FR56" s="49" t="s">
        <v>33</v>
      </c>
      <c r="FS56" s="49" t="s">
        <v>33</v>
      </c>
      <c r="FT56" s="49" t="s">
        <v>33</v>
      </c>
      <c r="FU56" s="49" t="s">
        <v>33</v>
      </c>
      <c r="FV56" s="49" t="s">
        <v>33</v>
      </c>
      <c r="FW56" s="49" t="s">
        <v>33</v>
      </c>
      <c r="FX56" s="49" t="s">
        <v>33</v>
      </c>
      <c r="FY56" s="49" t="s">
        <v>33</v>
      </c>
      <c r="FZ56" s="49" t="s">
        <v>33</v>
      </c>
      <c r="GA56" s="49" t="s">
        <v>33</v>
      </c>
      <c r="GB56" s="49" t="s">
        <v>33</v>
      </c>
      <c r="GC56" s="13" t="s">
        <v>33</v>
      </c>
      <c r="GD56" s="13" t="s">
        <v>33</v>
      </c>
      <c r="GE56" s="13" t="s">
        <v>33</v>
      </c>
      <c r="GF56" s="13" t="s">
        <v>33</v>
      </c>
      <c r="GG56" s="13" t="s">
        <v>33</v>
      </c>
      <c r="GH56" s="13" t="s">
        <v>33</v>
      </c>
      <c r="GI56" s="13" t="s">
        <v>33</v>
      </c>
      <c r="GJ56" s="13" t="s">
        <v>33</v>
      </c>
    </row>
    <row r="57" s="13" customFormat="true" ht="15.75" hidden="false" customHeight="true" outlineLevel="0" collapsed="false">
      <c r="A57" s="13" t="s">
        <v>281</v>
      </c>
      <c r="B57" s="196"/>
      <c r="C57" s="196"/>
      <c r="D57" s="196"/>
      <c r="E57" s="196"/>
      <c r="F57" s="196"/>
      <c r="G57" s="196"/>
      <c r="H57" s="196"/>
      <c r="I57" s="196"/>
      <c r="J57" s="196"/>
      <c r="K57" s="196"/>
      <c r="L57" s="196"/>
      <c r="M57" s="196"/>
      <c r="N57" s="196"/>
      <c r="O57" s="196"/>
      <c r="P57" s="196"/>
      <c r="Q57" s="196"/>
      <c r="R57" s="196"/>
      <c r="S57" s="196"/>
      <c r="T57" s="196"/>
      <c r="U57" s="196"/>
      <c r="V57" s="196"/>
      <c r="W57" s="196"/>
      <c r="X57" s="196"/>
      <c r="Y57" s="196"/>
      <c r="Z57" s="196"/>
      <c r="AA57" s="196"/>
      <c r="AB57" s="196"/>
      <c r="AC57" s="196"/>
      <c r="AD57" s="196"/>
      <c r="AE57" s="196"/>
      <c r="AF57" s="196"/>
      <c r="AG57" s="196"/>
      <c r="AH57" s="196"/>
      <c r="AI57" s="196"/>
      <c r="AJ57" s="196"/>
      <c r="AK57" s="196"/>
      <c r="AL57" s="196"/>
      <c r="AM57" s="196"/>
      <c r="AN57" s="196"/>
      <c r="AO57" s="196"/>
      <c r="AP57" s="196"/>
      <c r="AQ57" s="196"/>
      <c r="AR57" s="196"/>
      <c r="AS57" s="196"/>
      <c r="AT57" s="196"/>
      <c r="AU57" s="196"/>
      <c r="AV57" s="196"/>
      <c r="AW57" s="196"/>
      <c r="AX57" s="196"/>
      <c r="AY57" s="196"/>
      <c r="AZ57" s="196"/>
      <c r="BA57" s="196"/>
      <c r="BB57" s="196"/>
      <c r="BC57" s="196"/>
      <c r="BD57" s="196"/>
      <c r="BE57" s="196"/>
      <c r="BF57" s="196"/>
      <c r="BG57" s="196"/>
      <c r="BH57" s="196"/>
      <c r="BI57" s="196"/>
      <c r="BJ57" s="196"/>
      <c r="BK57" s="196"/>
      <c r="BL57" s="196"/>
      <c r="BM57" s="196"/>
      <c r="BN57" s="196"/>
      <c r="BO57" s="196"/>
      <c r="BP57" s="196"/>
      <c r="BQ57" s="196"/>
      <c r="BR57" s="196"/>
      <c r="BS57" s="196"/>
      <c r="BT57" s="196"/>
      <c r="BU57" s="196"/>
      <c r="BV57" s="196"/>
      <c r="BW57" s="196"/>
      <c r="BX57" s="196"/>
      <c r="BY57" s="196"/>
      <c r="BZ57" s="196"/>
      <c r="CA57" s="196"/>
      <c r="CB57" s="196"/>
      <c r="CC57" s="196"/>
      <c r="CD57" s="196"/>
      <c r="CE57" s="196"/>
      <c r="CF57" s="196"/>
      <c r="CG57" s="196"/>
      <c r="CH57" s="196"/>
      <c r="CI57" s="196"/>
      <c r="CJ57" s="196"/>
      <c r="CK57" s="196"/>
      <c r="CL57" s="196"/>
      <c r="CM57" s="196"/>
      <c r="CN57" s="196"/>
      <c r="CO57" s="196"/>
      <c r="CP57" s="196"/>
      <c r="CQ57" s="196"/>
      <c r="CR57" s="196"/>
      <c r="CS57" s="196"/>
      <c r="CT57" s="196"/>
      <c r="CU57" s="196"/>
      <c r="CV57" s="196"/>
      <c r="CW57" s="196"/>
      <c r="CX57" s="196"/>
      <c r="CY57" s="196"/>
      <c r="CZ57" s="196"/>
      <c r="DA57" s="196"/>
      <c r="DB57" s="196"/>
      <c r="DC57" s="196"/>
      <c r="DD57" s="196"/>
      <c r="DE57" s="196"/>
      <c r="DF57" s="196"/>
      <c r="DG57" s="196"/>
      <c r="DH57" s="196"/>
      <c r="DI57" s="196"/>
      <c r="DJ57" s="196"/>
      <c r="DK57" s="196"/>
      <c r="DL57" s="196"/>
      <c r="DM57" s="196"/>
      <c r="DN57" s="196"/>
      <c r="DO57" s="196"/>
      <c r="DP57" s="196"/>
      <c r="DQ57" s="196"/>
      <c r="DR57" s="196"/>
      <c r="DS57" s="196"/>
      <c r="DT57" s="196"/>
      <c r="DU57" s="196"/>
      <c r="DV57" s="196"/>
      <c r="DW57" s="196"/>
      <c r="DX57" s="196"/>
      <c r="DY57" s="196"/>
      <c r="DZ57" s="196"/>
      <c r="EA57" s="196"/>
      <c r="EB57" s="196"/>
      <c r="EC57" s="196"/>
      <c r="ED57" s="196"/>
      <c r="EE57" s="196"/>
      <c r="EF57" s="196"/>
      <c r="EG57" s="196"/>
      <c r="EH57" s="196"/>
      <c r="EI57" s="196"/>
      <c r="EJ57" s="196"/>
      <c r="EK57" s="196"/>
      <c r="EL57" s="196"/>
      <c r="EM57" s="196"/>
      <c r="EN57" s="196"/>
      <c r="EO57" s="196"/>
      <c r="EP57" s="49" t="s">
        <v>33</v>
      </c>
      <c r="EQ57" s="49" t="s">
        <v>33</v>
      </c>
      <c r="ER57" s="49" t="s">
        <v>33</v>
      </c>
      <c r="ES57" s="49" t="s">
        <v>33</v>
      </c>
      <c r="ET57" s="49" t="s">
        <v>33</v>
      </c>
      <c r="EU57" s="49" t="s">
        <v>33</v>
      </c>
      <c r="EV57" s="49" t="s">
        <v>33</v>
      </c>
      <c r="EW57" s="49" t="s">
        <v>33</v>
      </c>
      <c r="EX57" s="49" t="s">
        <v>33</v>
      </c>
      <c r="EY57" s="49" t="s">
        <v>33</v>
      </c>
      <c r="EZ57" s="49" t="s">
        <v>33</v>
      </c>
      <c r="FA57" s="49" t="s">
        <v>33</v>
      </c>
      <c r="FB57" s="49" t="s">
        <v>33</v>
      </c>
      <c r="FC57" s="49" t="s">
        <v>33</v>
      </c>
      <c r="FD57" s="49" t="s">
        <v>33</v>
      </c>
      <c r="FE57" s="13" t="s">
        <v>33</v>
      </c>
      <c r="FF57" s="13" t="s">
        <v>33</v>
      </c>
      <c r="FG57" s="13" t="s">
        <v>33</v>
      </c>
      <c r="FH57" s="13" t="s">
        <v>33</v>
      </c>
      <c r="FI57" s="49" t="s">
        <v>33</v>
      </c>
      <c r="FJ57" s="49" t="s">
        <v>33</v>
      </c>
      <c r="FK57" s="49" t="s">
        <v>33</v>
      </c>
      <c r="FL57" s="49" t="s">
        <v>33</v>
      </c>
      <c r="FM57" s="49" t="s">
        <v>33</v>
      </c>
      <c r="FN57" s="49" t="s">
        <v>33</v>
      </c>
      <c r="FO57" s="49" t="s">
        <v>33</v>
      </c>
      <c r="FP57" s="49" t="s">
        <v>33</v>
      </c>
      <c r="FQ57" s="49" t="s">
        <v>33</v>
      </c>
      <c r="FR57" s="49" t="s">
        <v>33</v>
      </c>
      <c r="FS57" s="49" t="s">
        <v>33</v>
      </c>
      <c r="FT57" s="49" t="s">
        <v>33</v>
      </c>
      <c r="FU57" s="49" t="s">
        <v>33</v>
      </c>
      <c r="FV57" s="49" t="s">
        <v>33</v>
      </c>
      <c r="FW57" s="49" t="s">
        <v>33</v>
      </c>
      <c r="FX57" s="49" t="s">
        <v>33</v>
      </c>
      <c r="FY57" s="49" t="s">
        <v>33</v>
      </c>
      <c r="FZ57" s="49" t="s">
        <v>33</v>
      </c>
      <c r="GA57" s="49" t="s">
        <v>33</v>
      </c>
      <c r="GB57" s="49" t="s">
        <v>33</v>
      </c>
      <c r="GC57" s="13" t="s">
        <v>33</v>
      </c>
      <c r="GD57" s="13" t="s">
        <v>33</v>
      </c>
      <c r="GE57" s="13" t="s">
        <v>33</v>
      </c>
      <c r="GF57" s="13" t="s">
        <v>33</v>
      </c>
      <c r="GG57" s="13" t="s">
        <v>33</v>
      </c>
      <c r="GH57" s="13" t="s">
        <v>33</v>
      </c>
      <c r="GI57" s="13" t="s">
        <v>33</v>
      </c>
      <c r="GJ57" s="13" t="s">
        <v>33</v>
      </c>
    </row>
    <row r="58" s="13" customFormat="true" ht="15.75" hidden="false" customHeight="true" outlineLevel="0" collapsed="false">
      <c r="A58" s="13" t="s">
        <v>284</v>
      </c>
      <c r="B58" s="196"/>
      <c r="C58" s="196"/>
      <c r="D58" s="196"/>
      <c r="E58" s="196"/>
      <c r="F58" s="196"/>
      <c r="G58" s="196"/>
      <c r="H58" s="196"/>
      <c r="I58" s="196"/>
      <c r="J58" s="196"/>
      <c r="K58" s="196"/>
      <c r="L58" s="196"/>
      <c r="M58" s="196"/>
      <c r="N58" s="196"/>
      <c r="O58" s="196"/>
      <c r="P58" s="196"/>
      <c r="Q58" s="196"/>
      <c r="R58" s="196"/>
      <c r="S58" s="196"/>
      <c r="T58" s="196"/>
      <c r="U58" s="196"/>
      <c r="V58" s="196"/>
      <c r="W58" s="196"/>
      <c r="X58" s="196"/>
      <c r="Y58" s="196"/>
      <c r="Z58" s="196"/>
      <c r="AA58" s="196"/>
      <c r="AB58" s="196"/>
      <c r="AC58" s="196"/>
      <c r="AD58" s="196"/>
      <c r="AE58" s="196"/>
      <c r="AF58" s="196"/>
      <c r="AG58" s="196"/>
      <c r="AH58" s="196"/>
      <c r="AI58" s="196"/>
      <c r="AJ58" s="196"/>
      <c r="AK58" s="196"/>
      <c r="AL58" s="196"/>
      <c r="AM58" s="196"/>
      <c r="AN58" s="196"/>
      <c r="AO58" s="196"/>
      <c r="AP58" s="196"/>
      <c r="AQ58" s="196"/>
      <c r="AR58" s="196"/>
      <c r="AS58" s="196"/>
      <c r="AT58" s="196"/>
      <c r="AU58" s="196"/>
      <c r="AV58" s="196"/>
      <c r="AW58" s="196"/>
      <c r="AX58" s="196"/>
      <c r="AY58" s="196"/>
      <c r="AZ58" s="196"/>
      <c r="BA58" s="196"/>
      <c r="BB58" s="196"/>
      <c r="BC58" s="196"/>
      <c r="BD58" s="196"/>
      <c r="BE58" s="196"/>
      <c r="BF58" s="196"/>
      <c r="BG58" s="196"/>
      <c r="BH58" s="196"/>
      <c r="BI58" s="196"/>
      <c r="BJ58" s="196"/>
      <c r="BK58" s="196"/>
      <c r="BL58" s="196"/>
      <c r="BM58" s="196"/>
      <c r="BN58" s="196"/>
      <c r="BO58" s="196"/>
      <c r="BP58" s="196"/>
      <c r="BQ58" s="196"/>
      <c r="BR58" s="196"/>
      <c r="BS58" s="196"/>
      <c r="BT58" s="196"/>
      <c r="BU58" s="196"/>
      <c r="BV58" s="196"/>
      <c r="BW58" s="196"/>
      <c r="BX58" s="196"/>
      <c r="BY58" s="196"/>
      <c r="BZ58" s="196"/>
      <c r="CA58" s="196"/>
      <c r="CB58" s="196"/>
      <c r="CC58" s="196"/>
      <c r="CD58" s="196"/>
      <c r="CE58" s="196"/>
      <c r="CF58" s="196"/>
      <c r="CG58" s="196"/>
      <c r="CH58" s="196"/>
      <c r="CI58" s="196"/>
      <c r="CJ58" s="196"/>
      <c r="CK58" s="196"/>
      <c r="CL58" s="196"/>
      <c r="CM58" s="196"/>
      <c r="CN58" s="196"/>
      <c r="CO58" s="196"/>
      <c r="CP58" s="196"/>
      <c r="CQ58" s="196"/>
      <c r="CR58" s="196"/>
      <c r="CS58" s="196"/>
      <c r="CT58" s="196"/>
      <c r="CU58" s="196"/>
      <c r="CV58" s="196"/>
      <c r="CW58" s="196"/>
      <c r="CX58" s="196"/>
      <c r="CY58" s="196"/>
      <c r="CZ58" s="196"/>
      <c r="DA58" s="196"/>
      <c r="DB58" s="196"/>
      <c r="DC58" s="196"/>
      <c r="DD58" s="196"/>
      <c r="DE58" s="196"/>
      <c r="DF58" s="196"/>
      <c r="DG58" s="196"/>
      <c r="DH58" s="196"/>
      <c r="DI58" s="196"/>
      <c r="DJ58" s="196"/>
      <c r="DK58" s="196"/>
      <c r="DL58" s="196"/>
      <c r="DM58" s="196"/>
      <c r="DN58" s="196"/>
      <c r="DO58" s="196"/>
      <c r="DP58" s="196"/>
      <c r="DQ58" s="196"/>
      <c r="DR58" s="196"/>
      <c r="DS58" s="196"/>
      <c r="DT58" s="196"/>
      <c r="DU58" s="196"/>
      <c r="DV58" s="196"/>
      <c r="DW58" s="196"/>
      <c r="DX58" s="196"/>
      <c r="DY58" s="196"/>
      <c r="DZ58" s="196"/>
      <c r="EA58" s="196"/>
      <c r="EB58" s="196"/>
      <c r="EC58" s="196"/>
      <c r="ED58" s="196"/>
      <c r="EE58" s="196"/>
      <c r="EF58" s="196"/>
      <c r="EG58" s="196"/>
      <c r="EH58" s="196"/>
      <c r="EI58" s="196"/>
      <c r="EJ58" s="196"/>
      <c r="EK58" s="196"/>
      <c r="EL58" s="196"/>
      <c r="EM58" s="196"/>
      <c r="EN58" s="196"/>
      <c r="EO58" s="196"/>
      <c r="EP58" s="49" t="s">
        <v>33</v>
      </c>
      <c r="EQ58" s="49" t="s">
        <v>33</v>
      </c>
      <c r="ER58" s="49" t="s">
        <v>33</v>
      </c>
      <c r="ES58" s="49" t="s">
        <v>33</v>
      </c>
      <c r="ET58" s="49" t="s">
        <v>33</v>
      </c>
      <c r="EU58" s="49" t="s">
        <v>33</v>
      </c>
      <c r="EV58" s="49" t="s">
        <v>33</v>
      </c>
      <c r="EW58" s="49" t="s">
        <v>33</v>
      </c>
      <c r="EX58" s="49" t="s">
        <v>33</v>
      </c>
      <c r="EY58" s="49" t="s">
        <v>33</v>
      </c>
      <c r="EZ58" s="49" t="s">
        <v>33</v>
      </c>
      <c r="FA58" s="49" t="s">
        <v>33</v>
      </c>
      <c r="FB58" s="49" t="s">
        <v>33</v>
      </c>
      <c r="FC58" s="49" t="s">
        <v>33</v>
      </c>
      <c r="FD58" s="49" t="s">
        <v>33</v>
      </c>
      <c r="FE58" s="13" t="s">
        <v>33</v>
      </c>
      <c r="FF58" s="13" t="s">
        <v>33</v>
      </c>
      <c r="FG58" s="13" t="s">
        <v>33</v>
      </c>
      <c r="FH58" s="13" t="s">
        <v>33</v>
      </c>
      <c r="FI58" s="49" t="s">
        <v>33</v>
      </c>
      <c r="FJ58" s="49" t="s">
        <v>33</v>
      </c>
      <c r="FK58" s="49" t="s">
        <v>33</v>
      </c>
      <c r="FL58" s="49" t="s">
        <v>33</v>
      </c>
      <c r="FM58" s="49" t="s">
        <v>33</v>
      </c>
      <c r="FN58" s="49" t="s">
        <v>33</v>
      </c>
      <c r="FO58" s="49" t="s">
        <v>33</v>
      </c>
      <c r="FP58" s="49" t="s">
        <v>33</v>
      </c>
      <c r="FQ58" s="49" t="s">
        <v>33</v>
      </c>
      <c r="FR58" s="49" t="s">
        <v>33</v>
      </c>
      <c r="FS58" s="49" t="s">
        <v>33</v>
      </c>
      <c r="FT58" s="49" t="s">
        <v>33</v>
      </c>
      <c r="FU58" s="49" t="s">
        <v>33</v>
      </c>
      <c r="FV58" s="49" t="s">
        <v>33</v>
      </c>
      <c r="FW58" s="49" t="s">
        <v>33</v>
      </c>
      <c r="FX58" s="49" t="s">
        <v>33</v>
      </c>
      <c r="FY58" s="49" t="s">
        <v>33</v>
      </c>
      <c r="FZ58" s="49" t="s">
        <v>33</v>
      </c>
      <c r="GA58" s="49" t="s">
        <v>33</v>
      </c>
      <c r="GB58" s="49" t="s">
        <v>41</v>
      </c>
      <c r="GC58" s="49" t="s">
        <v>41</v>
      </c>
      <c r="GD58" s="13" t="s">
        <v>41</v>
      </c>
      <c r="GE58" s="13" t="s">
        <v>41</v>
      </c>
      <c r="GF58" s="13" t="s">
        <v>33</v>
      </c>
      <c r="GG58" s="13" t="s">
        <v>33</v>
      </c>
      <c r="GH58" s="13" t="s">
        <v>33</v>
      </c>
      <c r="GI58" s="13" t="s">
        <v>33</v>
      </c>
      <c r="GJ58" s="13" t="s">
        <v>33</v>
      </c>
    </row>
    <row r="59" s="13" customFormat="true" ht="15.75" hidden="false" customHeight="true" outlineLevel="0" collapsed="false">
      <c r="A59" s="13" t="s">
        <v>287</v>
      </c>
      <c r="B59" s="196"/>
      <c r="C59" s="196"/>
      <c r="D59" s="196"/>
      <c r="E59" s="196"/>
      <c r="F59" s="196"/>
      <c r="G59" s="196"/>
      <c r="H59" s="196"/>
      <c r="I59" s="196"/>
      <c r="J59" s="196"/>
      <c r="K59" s="196"/>
      <c r="L59" s="196"/>
      <c r="M59" s="196"/>
      <c r="N59" s="196"/>
      <c r="O59" s="196"/>
      <c r="P59" s="196"/>
      <c r="Q59" s="196"/>
      <c r="R59" s="196"/>
      <c r="S59" s="196"/>
      <c r="T59" s="196"/>
      <c r="U59" s="196"/>
      <c r="V59" s="196"/>
      <c r="W59" s="196"/>
      <c r="X59" s="196"/>
      <c r="Y59" s="196"/>
      <c r="Z59" s="196"/>
      <c r="AA59" s="196"/>
      <c r="AB59" s="196"/>
      <c r="AC59" s="196"/>
      <c r="AD59" s="196"/>
      <c r="AE59" s="196"/>
      <c r="AF59" s="196"/>
      <c r="AG59" s="196"/>
      <c r="AH59" s="196"/>
      <c r="AI59" s="196"/>
      <c r="AJ59" s="196"/>
      <c r="AK59" s="196"/>
      <c r="AL59" s="196"/>
      <c r="AM59" s="196"/>
      <c r="AN59" s="196"/>
      <c r="AO59" s="196"/>
      <c r="AP59" s="196"/>
      <c r="AQ59" s="196"/>
      <c r="AR59" s="196"/>
      <c r="AS59" s="196"/>
      <c r="AT59" s="196"/>
      <c r="AU59" s="196"/>
      <c r="AV59" s="196"/>
      <c r="AW59" s="196"/>
      <c r="AX59" s="196"/>
      <c r="AY59" s="196"/>
      <c r="AZ59" s="196"/>
      <c r="BA59" s="196"/>
      <c r="BB59" s="196"/>
      <c r="BC59" s="196"/>
      <c r="BD59" s="196"/>
      <c r="BE59" s="196"/>
      <c r="BF59" s="196"/>
      <c r="BG59" s="196"/>
      <c r="BH59" s="196"/>
      <c r="BI59" s="196"/>
      <c r="BJ59" s="196"/>
      <c r="BK59" s="196"/>
      <c r="BL59" s="196"/>
      <c r="BM59" s="196"/>
      <c r="BN59" s="196"/>
      <c r="BO59" s="196"/>
      <c r="BP59" s="196"/>
      <c r="BQ59" s="196"/>
      <c r="BR59" s="196"/>
      <c r="BS59" s="196"/>
      <c r="BT59" s="196"/>
      <c r="BU59" s="196"/>
      <c r="BV59" s="196"/>
      <c r="BW59" s="196"/>
      <c r="BX59" s="196"/>
      <c r="BY59" s="196"/>
      <c r="BZ59" s="196"/>
      <c r="CA59" s="196"/>
      <c r="CB59" s="196"/>
      <c r="CC59" s="196"/>
      <c r="CD59" s="196"/>
      <c r="CE59" s="196"/>
      <c r="CF59" s="196"/>
      <c r="CG59" s="196"/>
      <c r="CH59" s="196"/>
      <c r="CI59" s="196"/>
      <c r="CJ59" s="196"/>
      <c r="CK59" s="196"/>
      <c r="CL59" s="196"/>
      <c r="CM59" s="196"/>
      <c r="CN59" s="196"/>
      <c r="CO59" s="196"/>
      <c r="CP59" s="196"/>
      <c r="CQ59" s="196"/>
      <c r="CR59" s="196"/>
      <c r="CS59" s="196"/>
      <c r="CT59" s="196"/>
      <c r="CU59" s="196"/>
      <c r="CV59" s="196"/>
      <c r="CW59" s="196"/>
      <c r="CX59" s="196"/>
      <c r="CY59" s="196"/>
      <c r="CZ59" s="196"/>
      <c r="DA59" s="196"/>
      <c r="DB59" s="196"/>
      <c r="DC59" s="196"/>
      <c r="DD59" s="196"/>
      <c r="DE59" s="196"/>
      <c r="DF59" s="196"/>
      <c r="DG59" s="196"/>
      <c r="DH59" s="196"/>
      <c r="DI59" s="196"/>
      <c r="DJ59" s="196"/>
      <c r="DK59" s="196"/>
      <c r="DL59" s="196"/>
      <c r="DM59" s="196"/>
      <c r="DN59" s="196"/>
      <c r="DO59" s="196"/>
      <c r="DP59" s="196"/>
      <c r="DQ59" s="196"/>
      <c r="DR59" s="196"/>
      <c r="DS59" s="196"/>
      <c r="DT59" s="196"/>
      <c r="DU59" s="196"/>
      <c r="DV59" s="196"/>
      <c r="DW59" s="196"/>
      <c r="DX59" s="196"/>
      <c r="DY59" s="196"/>
      <c r="DZ59" s="196"/>
      <c r="EA59" s="196"/>
      <c r="EB59" s="196"/>
      <c r="EC59" s="196"/>
      <c r="ED59" s="196"/>
      <c r="EE59" s="196"/>
      <c r="EF59" s="196"/>
      <c r="EG59" s="196"/>
      <c r="EH59" s="196"/>
      <c r="EI59" s="196"/>
      <c r="EJ59" s="196"/>
      <c r="EK59" s="196"/>
      <c r="EL59" s="196"/>
      <c r="EM59" s="196"/>
      <c r="EN59" s="196"/>
      <c r="EO59" s="196"/>
      <c r="EP59" s="196"/>
      <c r="EQ59" s="49" t="s">
        <v>33</v>
      </c>
      <c r="ER59" s="49" t="s">
        <v>33</v>
      </c>
      <c r="ES59" s="49" t="s">
        <v>33</v>
      </c>
      <c r="ET59" s="49" t="s">
        <v>33</v>
      </c>
      <c r="EU59" s="49" t="s">
        <v>33</v>
      </c>
      <c r="EV59" s="49" t="s">
        <v>33</v>
      </c>
      <c r="EW59" s="49" t="s">
        <v>33</v>
      </c>
      <c r="EX59" s="49" t="s">
        <v>33</v>
      </c>
      <c r="EY59" s="49" t="s">
        <v>33</v>
      </c>
      <c r="EZ59" s="49" t="s">
        <v>33</v>
      </c>
      <c r="FA59" s="49" t="s">
        <v>33</v>
      </c>
      <c r="FB59" s="49" t="s">
        <v>33</v>
      </c>
      <c r="FC59" s="49" t="s">
        <v>33</v>
      </c>
      <c r="FD59" s="49" t="s">
        <v>33</v>
      </c>
      <c r="FE59" s="13" t="s">
        <v>33</v>
      </c>
      <c r="FF59" s="13" t="s">
        <v>33</v>
      </c>
      <c r="FG59" s="13" t="s">
        <v>33</v>
      </c>
      <c r="FH59" s="13" t="s">
        <v>33</v>
      </c>
      <c r="FI59" s="49" t="s">
        <v>33</v>
      </c>
      <c r="FJ59" s="49" t="s">
        <v>33</v>
      </c>
      <c r="FK59" s="49" t="s">
        <v>33</v>
      </c>
      <c r="FL59" s="49" t="s">
        <v>33</v>
      </c>
      <c r="FM59" s="49" t="s">
        <v>33</v>
      </c>
      <c r="FN59" s="49" t="s">
        <v>33</v>
      </c>
      <c r="FO59" s="49" t="s">
        <v>33</v>
      </c>
      <c r="FP59" s="49" t="s">
        <v>33</v>
      </c>
      <c r="FQ59" s="49" t="s">
        <v>33</v>
      </c>
      <c r="FR59" s="49" t="s">
        <v>33</v>
      </c>
      <c r="FS59" s="49" t="s">
        <v>33</v>
      </c>
      <c r="FT59" s="49" t="s">
        <v>33</v>
      </c>
      <c r="FU59" s="49" t="s">
        <v>33</v>
      </c>
      <c r="FV59" s="49" t="s">
        <v>33</v>
      </c>
      <c r="FW59" s="49" t="s">
        <v>33</v>
      </c>
      <c r="FX59" s="49" t="s">
        <v>33</v>
      </c>
      <c r="FY59" s="49" t="s">
        <v>33</v>
      </c>
      <c r="FZ59" s="49" t="s">
        <v>33</v>
      </c>
      <c r="GA59" s="49" t="s">
        <v>33</v>
      </c>
      <c r="GB59" s="49" t="s">
        <v>33</v>
      </c>
      <c r="GC59" s="49" t="s">
        <v>33</v>
      </c>
      <c r="GD59" s="13" t="s">
        <v>33</v>
      </c>
      <c r="GE59" s="13" t="s">
        <v>33</v>
      </c>
      <c r="GF59" s="13" t="s">
        <v>33</v>
      </c>
      <c r="GG59" s="13" t="s">
        <v>33</v>
      </c>
      <c r="GH59" s="13" t="s">
        <v>33</v>
      </c>
      <c r="GI59" s="13" t="s">
        <v>33</v>
      </c>
      <c r="GJ59" s="13" t="s">
        <v>33</v>
      </c>
    </row>
    <row r="60" s="13" customFormat="true" ht="15.75" hidden="false" customHeight="true" outlineLevel="0" collapsed="false">
      <c r="A60" s="13" t="s">
        <v>290</v>
      </c>
      <c r="B60" s="196"/>
      <c r="C60" s="196"/>
      <c r="D60" s="196"/>
      <c r="E60" s="196"/>
      <c r="F60" s="196"/>
      <c r="G60" s="196"/>
      <c r="H60" s="196"/>
      <c r="I60" s="196"/>
      <c r="J60" s="196"/>
      <c r="K60" s="196"/>
      <c r="L60" s="196"/>
      <c r="M60" s="196"/>
      <c r="N60" s="196"/>
      <c r="O60" s="196"/>
      <c r="P60" s="196"/>
      <c r="Q60" s="196"/>
      <c r="R60" s="196"/>
      <c r="S60" s="196"/>
      <c r="T60" s="196"/>
      <c r="U60" s="196"/>
      <c r="V60" s="196"/>
      <c r="W60" s="196"/>
      <c r="X60" s="196"/>
      <c r="Y60" s="196"/>
      <c r="Z60" s="196"/>
      <c r="AA60" s="196"/>
      <c r="AB60" s="196"/>
      <c r="AC60" s="196"/>
      <c r="AD60" s="196"/>
      <c r="AE60" s="196"/>
      <c r="AF60" s="196"/>
      <c r="AG60" s="196"/>
      <c r="AH60" s="196"/>
      <c r="AI60" s="196"/>
      <c r="AJ60" s="196"/>
      <c r="AK60" s="196"/>
      <c r="AL60" s="196"/>
      <c r="AM60" s="196"/>
      <c r="AN60" s="196"/>
      <c r="AO60" s="196"/>
      <c r="AP60" s="196"/>
      <c r="AQ60" s="196"/>
      <c r="AR60" s="196"/>
      <c r="AS60" s="196"/>
      <c r="AT60" s="196"/>
      <c r="AU60" s="196"/>
      <c r="AV60" s="196"/>
      <c r="AW60" s="196"/>
      <c r="AX60" s="196"/>
      <c r="AY60" s="196"/>
      <c r="AZ60" s="196"/>
      <c r="BA60" s="196"/>
      <c r="BB60" s="196"/>
      <c r="BC60" s="196"/>
      <c r="BD60" s="196"/>
      <c r="BE60" s="196"/>
      <c r="BF60" s="196"/>
      <c r="BG60" s="196"/>
      <c r="BH60" s="196"/>
      <c r="BI60" s="196"/>
      <c r="BJ60" s="196"/>
      <c r="BK60" s="196"/>
      <c r="BL60" s="196"/>
      <c r="BM60" s="196"/>
      <c r="BN60" s="196"/>
      <c r="BO60" s="196"/>
      <c r="BP60" s="196"/>
      <c r="BQ60" s="196"/>
      <c r="BR60" s="196"/>
      <c r="BS60" s="196"/>
      <c r="BT60" s="196"/>
      <c r="BU60" s="196"/>
      <c r="BV60" s="196"/>
      <c r="BW60" s="196"/>
      <c r="BX60" s="196"/>
      <c r="BY60" s="196"/>
      <c r="BZ60" s="196"/>
      <c r="CA60" s="196"/>
      <c r="CB60" s="196"/>
      <c r="CC60" s="196"/>
      <c r="CD60" s="196"/>
      <c r="CE60" s="196"/>
      <c r="CF60" s="196"/>
      <c r="CG60" s="196"/>
      <c r="CH60" s="196"/>
      <c r="CI60" s="196"/>
      <c r="CJ60" s="196"/>
      <c r="CK60" s="196"/>
      <c r="CL60" s="196"/>
      <c r="CM60" s="196"/>
      <c r="CN60" s="196"/>
      <c r="CO60" s="196"/>
      <c r="CP60" s="196"/>
      <c r="CQ60" s="196"/>
      <c r="CR60" s="196"/>
      <c r="CS60" s="196"/>
      <c r="CT60" s="196"/>
      <c r="CU60" s="196"/>
      <c r="CV60" s="196"/>
      <c r="CW60" s="196"/>
      <c r="CX60" s="196"/>
      <c r="CY60" s="196"/>
      <c r="CZ60" s="196"/>
      <c r="DA60" s="196"/>
      <c r="DB60" s="196"/>
      <c r="DC60" s="196"/>
      <c r="DD60" s="196"/>
      <c r="DE60" s="196"/>
      <c r="DF60" s="196"/>
      <c r="DG60" s="196"/>
      <c r="DH60" s="196"/>
      <c r="DI60" s="196"/>
      <c r="DJ60" s="196"/>
      <c r="DK60" s="196"/>
      <c r="DL60" s="196"/>
      <c r="DM60" s="196"/>
      <c r="DN60" s="196"/>
      <c r="DO60" s="196"/>
      <c r="DP60" s="196"/>
      <c r="DQ60" s="196"/>
      <c r="DR60" s="196"/>
      <c r="DS60" s="196"/>
      <c r="DT60" s="196"/>
      <c r="DU60" s="196"/>
      <c r="DV60" s="196"/>
      <c r="DW60" s="196"/>
      <c r="DX60" s="196"/>
      <c r="DY60" s="196"/>
      <c r="DZ60" s="196"/>
      <c r="EA60" s="196"/>
      <c r="EB60" s="196"/>
      <c r="EC60" s="196"/>
      <c r="ED60" s="196"/>
      <c r="EE60" s="196"/>
      <c r="EF60" s="196"/>
      <c r="EG60" s="196"/>
      <c r="EH60" s="196"/>
      <c r="EI60" s="196"/>
      <c r="EJ60" s="196"/>
      <c r="EK60" s="196"/>
      <c r="EL60" s="196"/>
      <c r="EM60" s="196"/>
      <c r="EN60" s="196"/>
      <c r="EO60" s="196"/>
      <c r="EP60" s="196"/>
      <c r="EQ60" s="196"/>
      <c r="ER60" s="49" t="s">
        <v>33</v>
      </c>
      <c r="ES60" s="49" t="s">
        <v>33</v>
      </c>
      <c r="ET60" s="49" t="s">
        <v>33</v>
      </c>
      <c r="EU60" s="49" t="s">
        <v>33</v>
      </c>
      <c r="EV60" s="49" t="s">
        <v>33</v>
      </c>
      <c r="EW60" s="49" t="s">
        <v>33</v>
      </c>
      <c r="EX60" s="49" t="s">
        <v>33</v>
      </c>
      <c r="EY60" s="49" t="s">
        <v>33</v>
      </c>
      <c r="EZ60" s="49" t="s">
        <v>33</v>
      </c>
      <c r="FA60" s="49" t="s">
        <v>33</v>
      </c>
      <c r="FB60" s="49" t="s">
        <v>33</v>
      </c>
      <c r="FC60" s="49" t="s">
        <v>33</v>
      </c>
      <c r="FD60" s="49" t="s">
        <v>33</v>
      </c>
      <c r="FE60" s="13" t="s">
        <v>33</v>
      </c>
      <c r="FF60" s="13" t="s">
        <v>33</v>
      </c>
      <c r="FG60" s="13" t="s">
        <v>33</v>
      </c>
      <c r="FH60" s="13" t="s">
        <v>33</v>
      </c>
      <c r="FI60" s="49" t="s">
        <v>33</v>
      </c>
      <c r="FJ60" s="49" t="s">
        <v>33</v>
      </c>
      <c r="FK60" s="49" t="s">
        <v>33</v>
      </c>
      <c r="FL60" s="49" t="s">
        <v>33</v>
      </c>
      <c r="FM60" s="49" t="s">
        <v>33</v>
      </c>
      <c r="FN60" s="49" t="s">
        <v>33</v>
      </c>
      <c r="FO60" s="49" t="s">
        <v>33</v>
      </c>
      <c r="FP60" s="49" t="s">
        <v>33</v>
      </c>
      <c r="FQ60" s="49" t="s">
        <v>33</v>
      </c>
      <c r="FR60" s="49" t="s">
        <v>33</v>
      </c>
      <c r="FS60" s="49" t="s">
        <v>33</v>
      </c>
      <c r="FT60" s="49" t="s">
        <v>33</v>
      </c>
      <c r="FU60" s="49" t="s">
        <v>33</v>
      </c>
      <c r="FV60" s="49" t="s">
        <v>33</v>
      </c>
      <c r="FW60" s="49" t="s">
        <v>33</v>
      </c>
      <c r="FX60" s="49" t="s">
        <v>33</v>
      </c>
      <c r="FY60" s="49" t="s">
        <v>33</v>
      </c>
      <c r="FZ60" s="49" t="s">
        <v>33</v>
      </c>
      <c r="GA60" s="49" t="s">
        <v>33</v>
      </c>
      <c r="GB60" s="49" t="s">
        <v>33</v>
      </c>
      <c r="GC60" s="49" t="s">
        <v>33</v>
      </c>
      <c r="GD60" s="13" t="s">
        <v>33</v>
      </c>
      <c r="GE60" s="13" t="s">
        <v>33</v>
      </c>
      <c r="GF60" s="13" t="s">
        <v>33</v>
      </c>
      <c r="GG60" s="13" t="s">
        <v>33</v>
      </c>
      <c r="GH60" s="13" t="s">
        <v>33</v>
      </c>
      <c r="GI60" s="13" t="s">
        <v>33</v>
      </c>
      <c r="GJ60" s="13" t="s">
        <v>33</v>
      </c>
    </row>
    <row r="61" s="13" customFormat="true" ht="15.75" hidden="false" customHeight="true" outlineLevel="0" collapsed="false">
      <c r="A61" s="13" t="s">
        <v>293</v>
      </c>
      <c r="B61" s="196"/>
      <c r="C61" s="196"/>
      <c r="D61" s="196"/>
      <c r="E61" s="196"/>
      <c r="F61" s="196"/>
      <c r="G61" s="196"/>
      <c r="H61" s="196"/>
      <c r="I61" s="196"/>
      <c r="J61" s="196"/>
      <c r="K61" s="196"/>
      <c r="L61" s="196"/>
      <c r="M61" s="196"/>
      <c r="N61" s="196"/>
      <c r="O61" s="196"/>
      <c r="P61" s="196"/>
      <c r="Q61" s="196"/>
      <c r="R61" s="196"/>
      <c r="S61" s="196"/>
      <c r="T61" s="196"/>
      <c r="U61" s="196"/>
      <c r="V61" s="196"/>
      <c r="W61" s="196"/>
      <c r="X61" s="196"/>
      <c r="Y61" s="196"/>
      <c r="Z61" s="196"/>
      <c r="AA61" s="196"/>
      <c r="AB61" s="196"/>
      <c r="AC61" s="196"/>
      <c r="AD61" s="196"/>
      <c r="AE61" s="196"/>
      <c r="AF61" s="196"/>
      <c r="AG61" s="196"/>
      <c r="AH61" s="196"/>
      <c r="AI61" s="196"/>
      <c r="AJ61" s="196"/>
      <c r="AK61" s="196"/>
      <c r="AL61" s="196"/>
      <c r="AM61" s="196"/>
      <c r="AN61" s="196"/>
      <c r="AO61" s="196"/>
      <c r="AP61" s="196"/>
      <c r="AQ61" s="196"/>
      <c r="AR61" s="196"/>
      <c r="AS61" s="196"/>
      <c r="AT61" s="196"/>
      <c r="AU61" s="196"/>
      <c r="AV61" s="196"/>
      <c r="AW61" s="196"/>
      <c r="AX61" s="196"/>
      <c r="AY61" s="196"/>
      <c r="AZ61" s="196"/>
      <c r="BA61" s="196"/>
      <c r="BB61" s="196"/>
      <c r="BC61" s="196"/>
      <c r="BD61" s="196"/>
      <c r="BE61" s="196"/>
      <c r="BF61" s="196"/>
      <c r="BG61" s="196"/>
      <c r="BH61" s="196"/>
      <c r="BI61" s="196"/>
      <c r="BJ61" s="196"/>
      <c r="BK61" s="196"/>
      <c r="BL61" s="196"/>
      <c r="BM61" s="196"/>
      <c r="BN61" s="196"/>
      <c r="BO61" s="196"/>
      <c r="BP61" s="196"/>
      <c r="BQ61" s="196"/>
      <c r="BR61" s="196"/>
      <c r="BS61" s="196"/>
      <c r="BT61" s="196"/>
      <c r="BU61" s="196"/>
      <c r="BV61" s="196"/>
      <c r="BW61" s="196"/>
      <c r="BX61" s="196"/>
      <c r="BY61" s="196"/>
      <c r="BZ61" s="196"/>
      <c r="CA61" s="196"/>
      <c r="CB61" s="196"/>
      <c r="CC61" s="196"/>
      <c r="CD61" s="196"/>
      <c r="CE61" s="196"/>
      <c r="CF61" s="196"/>
      <c r="CG61" s="196"/>
      <c r="CH61" s="196"/>
      <c r="CI61" s="196"/>
      <c r="CJ61" s="196"/>
      <c r="CK61" s="196"/>
      <c r="CL61" s="196"/>
      <c r="CM61" s="196"/>
      <c r="CN61" s="196"/>
      <c r="CO61" s="196"/>
      <c r="CP61" s="196"/>
      <c r="CQ61" s="196"/>
      <c r="CR61" s="196"/>
      <c r="CS61" s="196"/>
      <c r="CT61" s="196"/>
      <c r="CU61" s="196"/>
      <c r="CV61" s="196"/>
      <c r="CW61" s="196"/>
      <c r="CX61" s="196"/>
      <c r="CY61" s="196"/>
      <c r="CZ61" s="196"/>
      <c r="DA61" s="196"/>
      <c r="DB61" s="196"/>
      <c r="DC61" s="196"/>
      <c r="DD61" s="196"/>
      <c r="DE61" s="196"/>
      <c r="DF61" s="196"/>
      <c r="DG61" s="196"/>
      <c r="DH61" s="196"/>
      <c r="DI61" s="196"/>
      <c r="DJ61" s="196"/>
      <c r="DK61" s="196"/>
      <c r="DL61" s="196"/>
      <c r="DM61" s="196"/>
      <c r="DN61" s="196"/>
      <c r="DO61" s="196"/>
      <c r="DP61" s="196"/>
      <c r="DQ61" s="196"/>
      <c r="DR61" s="196"/>
      <c r="DS61" s="196"/>
      <c r="DT61" s="196"/>
      <c r="DU61" s="196"/>
      <c r="DV61" s="196"/>
      <c r="DW61" s="196"/>
      <c r="DX61" s="196"/>
      <c r="DY61" s="196"/>
      <c r="DZ61" s="196"/>
      <c r="EA61" s="196"/>
      <c r="EB61" s="196"/>
      <c r="EC61" s="196"/>
      <c r="ED61" s="196"/>
      <c r="EE61" s="196"/>
      <c r="EF61" s="196"/>
      <c r="EG61" s="196"/>
      <c r="EH61" s="196"/>
      <c r="EI61" s="196"/>
      <c r="EJ61" s="196"/>
      <c r="EK61" s="196"/>
      <c r="EL61" s="196"/>
      <c r="EM61" s="196"/>
      <c r="EN61" s="196"/>
      <c r="EO61" s="196"/>
      <c r="EP61" s="196"/>
      <c r="EQ61" s="196"/>
      <c r="ER61" s="196"/>
      <c r="ES61" s="196"/>
      <c r="ET61" s="49" t="s">
        <v>33</v>
      </c>
      <c r="EU61" s="49" t="s">
        <v>33</v>
      </c>
      <c r="EV61" s="49" t="s">
        <v>33</v>
      </c>
      <c r="EW61" s="49" t="s">
        <v>33</v>
      </c>
      <c r="EX61" s="49" t="s">
        <v>33</v>
      </c>
      <c r="EY61" s="49" t="s">
        <v>33</v>
      </c>
      <c r="EZ61" s="49" t="s">
        <v>33</v>
      </c>
      <c r="FA61" s="49" t="s">
        <v>33</v>
      </c>
      <c r="FB61" s="49" t="s">
        <v>33</v>
      </c>
      <c r="FC61" s="49" t="s">
        <v>33</v>
      </c>
      <c r="FD61" s="49" t="s">
        <v>33</v>
      </c>
      <c r="FE61" s="13" t="s">
        <v>33</v>
      </c>
      <c r="FF61" s="13" t="s">
        <v>33</v>
      </c>
      <c r="FG61" s="13" t="s">
        <v>33</v>
      </c>
      <c r="FH61" s="13" t="s">
        <v>33</v>
      </c>
      <c r="FI61" s="49" t="s">
        <v>33</v>
      </c>
      <c r="FJ61" s="49" t="s">
        <v>33</v>
      </c>
      <c r="FK61" s="49" t="s">
        <v>33</v>
      </c>
      <c r="FL61" s="49" t="s">
        <v>33</v>
      </c>
      <c r="FM61" s="49" t="s">
        <v>33</v>
      </c>
      <c r="FN61" s="49" t="s">
        <v>33</v>
      </c>
      <c r="FO61" s="49" t="s">
        <v>33</v>
      </c>
      <c r="FP61" s="49" t="s">
        <v>33</v>
      </c>
      <c r="FQ61" s="49" t="s">
        <v>33</v>
      </c>
      <c r="FR61" s="49" t="s">
        <v>33</v>
      </c>
      <c r="FS61" s="49" t="s">
        <v>33</v>
      </c>
      <c r="FT61" s="49" t="s">
        <v>33</v>
      </c>
      <c r="FU61" s="49" t="s">
        <v>33</v>
      </c>
      <c r="FV61" s="49" t="s">
        <v>33</v>
      </c>
      <c r="FW61" s="49" t="s">
        <v>33</v>
      </c>
      <c r="FX61" s="49" t="s">
        <v>33</v>
      </c>
      <c r="FY61" s="49" t="s">
        <v>33</v>
      </c>
      <c r="FZ61" s="49" t="s">
        <v>33</v>
      </c>
      <c r="GA61" s="49" t="s">
        <v>33</v>
      </c>
      <c r="GB61" s="49" t="s">
        <v>33</v>
      </c>
      <c r="GC61" s="49" t="s">
        <v>33</v>
      </c>
      <c r="GD61" s="13" t="s">
        <v>33</v>
      </c>
      <c r="GE61" s="13" t="s">
        <v>33</v>
      </c>
      <c r="GF61" s="13" t="s">
        <v>33</v>
      </c>
      <c r="GG61" s="13" t="s">
        <v>33</v>
      </c>
      <c r="GH61" s="13" t="s">
        <v>33</v>
      </c>
      <c r="GI61" s="13" t="s">
        <v>33</v>
      </c>
      <c r="GJ61" s="13" t="s">
        <v>33</v>
      </c>
    </row>
    <row r="62" s="13" customFormat="true" ht="15.75" hidden="false" customHeight="true" outlineLevel="0" collapsed="false">
      <c r="A62" s="13" t="s">
        <v>296</v>
      </c>
      <c r="B62" s="196"/>
      <c r="C62" s="196"/>
      <c r="D62" s="196"/>
      <c r="E62" s="196"/>
      <c r="F62" s="196"/>
      <c r="G62" s="196"/>
      <c r="H62" s="196"/>
      <c r="I62" s="196"/>
      <c r="J62" s="196"/>
      <c r="K62" s="196"/>
      <c r="L62" s="196"/>
      <c r="M62" s="196"/>
      <c r="N62" s="196"/>
      <c r="O62" s="196"/>
      <c r="P62" s="196"/>
      <c r="Q62" s="196"/>
      <c r="R62" s="196"/>
      <c r="S62" s="196"/>
      <c r="T62" s="196"/>
      <c r="U62" s="196"/>
      <c r="V62" s="196"/>
      <c r="W62" s="196"/>
      <c r="X62" s="196"/>
      <c r="Y62" s="196"/>
      <c r="Z62" s="196"/>
      <c r="AA62" s="196"/>
      <c r="AB62" s="196"/>
      <c r="AC62" s="196"/>
      <c r="AD62" s="196"/>
      <c r="AE62" s="196"/>
      <c r="AF62" s="196"/>
      <c r="AG62" s="196"/>
      <c r="AH62" s="196"/>
      <c r="AI62" s="196"/>
      <c r="AJ62" s="196"/>
      <c r="AK62" s="196"/>
      <c r="AL62" s="196"/>
      <c r="AM62" s="196"/>
      <c r="AN62" s="196"/>
      <c r="AO62" s="196"/>
      <c r="AP62" s="196"/>
      <c r="AQ62" s="196"/>
      <c r="AR62" s="196"/>
      <c r="AS62" s="196"/>
      <c r="AT62" s="196"/>
      <c r="AU62" s="196"/>
      <c r="AV62" s="196"/>
      <c r="AW62" s="196"/>
      <c r="AX62" s="196"/>
      <c r="AY62" s="196"/>
      <c r="AZ62" s="196"/>
      <c r="BA62" s="196"/>
      <c r="BB62" s="196"/>
      <c r="BC62" s="196"/>
      <c r="BD62" s="196"/>
      <c r="BE62" s="196"/>
      <c r="BF62" s="196"/>
      <c r="BG62" s="196"/>
      <c r="BH62" s="196"/>
      <c r="BI62" s="196"/>
      <c r="BJ62" s="196"/>
      <c r="BK62" s="196"/>
      <c r="BL62" s="196"/>
      <c r="BM62" s="196"/>
      <c r="BN62" s="196"/>
      <c r="BO62" s="196"/>
      <c r="BP62" s="196"/>
      <c r="BQ62" s="196"/>
      <c r="BR62" s="196"/>
      <c r="BS62" s="196"/>
      <c r="BT62" s="196"/>
      <c r="BU62" s="196"/>
      <c r="BV62" s="196"/>
      <c r="BW62" s="196"/>
      <c r="BX62" s="196"/>
      <c r="BY62" s="196"/>
      <c r="BZ62" s="196"/>
      <c r="CA62" s="196"/>
      <c r="CB62" s="196"/>
      <c r="CC62" s="196"/>
      <c r="CD62" s="196"/>
      <c r="CE62" s="196"/>
      <c r="CF62" s="196"/>
      <c r="CG62" s="196"/>
      <c r="CH62" s="196"/>
      <c r="CI62" s="196"/>
      <c r="CJ62" s="196"/>
      <c r="CK62" s="196"/>
      <c r="CL62" s="196"/>
      <c r="CM62" s="196"/>
      <c r="CN62" s="196"/>
      <c r="CO62" s="196"/>
      <c r="CP62" s="196"/>
      <c r="CQ62" s="196"/>
      <c r="CR62" s="196"/>
      <c r="CS62" s="196"/>
      <c r="CT62" s="196"/>
      <c r="CU62" s="196"/>
      <c r="CV62" s="196"/>
      <c r="CW62" s="196"/>
      <c r="CX62" s="196"/>
      <c r="CY62" s="196"/>
      <c r="CZ62" s="196"/>
      <c r="DA62" s="196"/>
      <c r="DB62" s="196"/>
      <c r="DC62" s="196"/>
      <c r="DD62" s="196"/>
      <c r="DE62" s="196"/>
      <c r="DF62" s="196"/>
      <c r="DG62" s="196"/>
      <c r="DH62" s="196"/>
      <c r="DI62" s="196"/>
      <c r="DJ62" s="196"/>
      <c r="DK62" s="196"/>
      <c r="DL62" s="196"/>
      <c r="DM62" s="196"/>
      <c r="DN62" s="196"/>
      <c r="DO62" s="196"/>
      <c r="DP62" s="196"/>
      <c r="DQ62" s="196"/>
      <c r="DR62" s="196"/>
      <c r="DS62" s="196"/>
      <c r="DT62" s="196"/>
      <c r="DU62" s="196"/>
      <c r="DV62" s="196"/>
      <c r="DW62" s="196"/>
      <c r="DX62" s="196"/>
      <c r="DY62" s="196"/>
      <c r="DZ62" s="196"/>
      <c r="EA62" s="196"/>
      <c r="EB62" s="196"/>
      <c r="EC62" s="196"/>
      <c r="ED62" s="196"/>
      <c r="EE62" s="196"/>
      <c r="EF62" s="196"/>
      <c r="EG62" s="196"/>
      <c r="EH62" s="196"/>
      <c r="EI62" s="196"/>
      <c r="EJ62" s="196"/>
      <c r="EK62" s="196"/>
      <c r="EL62" s="196"/>
      <c r="EM62" s="196"/>
      <c r="EN62" s="196"/>
      <c r="EO62" s="196"/>
      <c r="EP62" s="196"/>
      <c r="EQ62" s="196"/>
      <c r="ER62" s="196"/>
      <c r="ES62" s="196"/>
      <c r="ET62" s="49" t="s">
        <v>33</v>
      </c>
      <c r="EU62" s="49" t="s">
        <v>33</v>
      </c>
      <c r="EV62" s="49" t="s">
        <v>33</v>
      </c>
      <c r="EW62" s="49" t="s">
        <v>33</v>
      </c>
      <c r="EX62" s="49" t="s">
        <v>33</v>
      </c>
      <c r="EY62" s="49" t="s">
        <v>33</v>
      </c>
      <c r="EZ62" s="49" t="s">
        <v>33</v>
      </c>
      <c r="FA62" s="49" t="s">
        <v>33</v>
      </c>
      <c r="FB62" s="49" t="s">
        <v>33</v>
      </c>
      <c r="FC62" s="49" t="s">
        <v>33</v>
      </c>
      <c r="FD62" s="49" t="s">
        <v>33</v>
      </c>
      <c r="FE62" s="13" t="s">
        <v>33</v>
      </c>
      <c r="FF62" s="13" t="s">
        <v>33</v>
      </c>
      <c r="FG62" s="13" t="s">
        <v>33</v>
      </c>
      <c r="FH62" s="13" t="s">
        <v>33</v>
      </c>
      <c r="FI62" s="49" t="s">
        <v>33</v>
      </c>
      <c r="FJ62" s="49" t="s">
        <v>33</v>
      </c>
      <c r="FK62" s="49" t="s">
        <v>33</v>
      </c>
      <c r="FL62" s="49" t="s">
        <v>33</v>
      </c>
      <c r="FM62" s="49" t="s">
        <v>33</v>
      </c>
      <c r="FN62" s="49" t="s">
        <v>33</v>
      </c>
      <c r="FO62" s="49" t="s">
        <v>33</v>
      </c>
      <c r="FP62" s="49" t="s">
        <v>33</v>
      </c>
      <c r="FQ62" s="49" t="s">
        <v>33</v>
      </c>
      <c r="FR62" s="49" t="s">
        <v>33</v>
      </c>
      <c r="FS62" s="49" t="s">
        <v>33</v>
      </c>
      <c r="FT62" s="49" t="s">
        <v>33</v>
      </c>
      <c r="FU62" s="49" t="s">
        <v>33</v>
      </c>
      <c r="FV62" s="49" t="s">
        <v>33</v>
      </c>
      <c r="FW62" s="49" t="s">
        <v>33</v>
      </c>
      <c r="FX62" s="49" t="s">
        <v>33</v>
      </c>
      <c r="FY62" s="49" t="s">
        <v>33</v>
      </c>
      <c r="FZ62" s="49" t="s">
        <v>33</v>
      </c>
      <c r="GA62" s="49" t="s">
        <v>33</v>
      </c>
      <c r="GB62" s="49" t="s">
        <v>33</v>
      </c>
      <c r="GC62" s="49" t="s">
        <v>33</v>
      </c>
      <c r="GD62" s="13" t="s">
        <v>33</v>
      </c>
      <c r="GE62" s="13" t="s">
        <v>33</v>
      </c>
      <c r="GF62" s="13" t="s">
        <v>33</v>
      </c>
      <c r="GG62" s="13" t="s">
        <v>33</v>
      </c>
      <c r="GH62" s="13" t="s">
        <v>33</v>
      </c>
      <c r="GI62" s="13" t="s">
        <v>33</v>
      </c>
      <c r="GJ62" s="13" t="s">
        <v>33</v>
      </c>
    </row>
    <row r="63" s="13" customFormat="true" ht="15.75" hidden="false" customHeight="true" outlineLevel="0" collapsed="false">
      <c r="A63" s="13" t="s">
        <v>299</v>
      </c>
      <c r="B63" s="196"/>
      <c r="C63" s="196"/>
      <c r="D63" s="196"/>
      <c r="E63" s="196"/>
      <c r="F63" s="196"/>
      <c r="G63" s="196"/>
      <c r="H63" s="196"/>
      <c r="I63" s="196"/>
      <c r="J63" s="196"/>
      <c r="K63" s="196"/>
      <c r="L63" s="196"/>
      <c r="M63" s="196"/>
      <c r="N63" s="196"/>
      <c r="O63" s="196"/>
      <c r="P63" s="196"/>
      <c r="Q63" s="196"/>
      <c r="R63" s="196"/>
      <c r="S63" s="196"/>
      <c r="T63" s="196"/>
      <c r="U63" s="196"/>
      <c r="V63" s="196"/>
      <c r="W63" s="196"/>
      <c r="X63" s="196"/>
      <c r="Y63" s="196"/>
      <c r="Z63" s="196"/>
      <c r="AA63" s="196"/>
      <c r="AB63" s="196"/>
      <c r="AC63" s="196"/>
      <c r="AD63" s="196"/>
      <c r="AE63" s="196"/>
      <c r="AF63" s="196"/>
      <c r="AG63" s="196"/>
      <c r="AH63" s="196"/>
      <c r="AI63" s="196"/>
      <c r="AJ63" s="196"/>
      <c r="AK63" s="196"/>
      <c r="AL63" s="196"/>
      <c r="AM63" s="196"/>
      <c r="AN63" s="196"/>
      <c r="AO63" s="196"/>
      <c r="AP63" s="196"/>
      <c r="AQ63" s="196"/>
      <c r="AR63" s="196"/>
      <c r="AS63" s="196"/>
      <c r="AT63" s="196"/>
      <c r="AU63" s="196"/>
      <c r="AV63" s="196"/>
      <c r="AW63" s="196"/>
      <c r="AX63" s="196"/>
      <c r="AY63" s="196"/>
      <c r="AZ63" s="196"/>
      <c r="BA63" s="196"/>
      <c r="BB63" s="196"/>
      <c r="BC63" s="196"/>
      <c r="BD63" s="196"/>
      <c r="BE63" s="196"/>
      <c r="BF63" s="196"/>
      <c r="BG63" s="196"/>
      <c r="BH63" s="196"/>
      <c r="BI63" s="196"/>
      <c r="BJ63" s="196"/>
      <c r="BK63" s="196"/>
      <c r="BL63" s="196"/>
      <c r="BM63" s="196"/>
      <c r="BN63" s="196"/>
      <c r="BO63" s="196"/>
      <c r="BP63" s="196"/>
      <c r="BQ63" s="196"/>
      <c r="BR63" s="196"/>
      <c r="BS63" s="196"/>
      <c r="BT63" s="196"/>
      <c r="BU63" s="196"/>
      <c r="BV63" s="196"/>
      <c r="BW63" s="196"/>
      <c r="BX63" s="196"/>
      <c r="BY63" s="196"/>
      <c r="BZ63" s="196"/>
      <c r="CA63" s="196"/>
      <c r="CB63" s="196"/>
      <c r="CC63" s="196"/>
      <c r="CD63" s="196"/>
      <c r="CE63" s="196"/>
      <c r="CF63" s="196"/>
      <c r="CG63" s="196"/>
      <c r="CH63" s="196"/>
      <c r="CI63" s="196"/>
      <c r="CJ63" s="196"/>
      <c r="CK63" s="196"/>
      <c r="CL63" s="196"/>
      <c r="CM63" s="196"/>
      <c r="CN63" s="196"/>
      <c r="CO63" s="196"/>
      <c r="CP63" s="196"/>
      <c r="CQ63" s="196"/>
      <c r="CR63" s="196"/>
      <c r="CS63" s="196"/>
      <c r="CT63" s="196"/>
      <c r="CU63" s="196"/>
      <c r="CV63" s="196"/>
      <c r="CW63" s="196"/>
      <c r="CX63" s="196"/>
      <c r="CY63" s="196"/>
      <c r="CZ63" s="196"/>
      <c r="DA63" s="196"/>
      <c r="DB63" s="196"/>
      <c r="DC63" s="196"/>
      <c r="DD63" s="196"/>
      <c r="DE63" s="196"/>
      <c r="DF63" s="196"/>
      <c r="DG63" s="196"/>
      <c r="DH63" s="196"/>
      <c r="DI63" s="196"/>
      <c r="DJ63" s="196"/>
      <c r="DK63" s="196"/>
      <c r="DL63" s="196"/>
      <c r="DM63" s="196"/>
      <c r="DN63" s="196"/>
      <c r="DO63" s="196"/>
      <c r="DP63" s="196"/>
      <c r="DQ63" s="196"/>
      <c r="DR63" s="196"/>
      <c r="DS63" s="196"/>
      <c r="DT63" s="196"/>
      <c r="DU63" s="196"/>
      <c r="DV63" s="196"/>
      <c r="DW63" s="196"/>
      <c r="DX63" s="196"/>
      <c r="DY63" s="196"/>
      <c r="DZ63" s="196"/>
      <c r="EA63" s="196"/>
      <c r="EB63" s="196"/>
      <c r="EC63" s="196"/>
      <c r="ED63" s="196"/>
      <c r="EE63" s="196"/>
      <c r="EF63" s="196"/>
      <c r="EG63" s="196"/>
      <c r="EH63" s="196"/>
      <c r="EI63" s="196"/>
      <c r="EJ63" s="196"/>
      <c r="EK63" s="196"/>
      <c r="EL63" s="196"/>
      <c r="EM63" s="196"/>
      <c r="EN63" s="196"/>
      <c r="EO63" s="196"/>
      <c r="EP63" s="196"/>
      <c r="EQ63" s="196"/>
      <c r="ER63" s="196"/>
      <c r="ES63" s="196"/>
      <c r="ET63" s="49" t="s">
        <v>33</v>
      </c>
      <c r="EU63" s="49" t="s">
        <v>33</v>
      </c>
      <c r="EV63" s="49" t="s">
        <v>33</v>
      </c>
      <c r="EW63" s="49" t="s">
        <v>33</v>
      </c>
      <c r="EX63" s="49" t="s">
        <v>33</v>
      </c>
      <c r="EY63" s="49" t="s">
        <v>33</v>
      </c>
      <c r="EZ63" s="49" t="s">
        <v>33</v>
      </c>
      <c r="FA63" s="49" t="s">
        <v>33</v>
      </c>
      <c r="FB63" s="49" t="s">
        <v>33</v>
      </c>
      <c r="FC63" s="49" t="s">
        <v>33</v>
      </c>
      <c r="FD63" s="49" t="s">
        <v>33</v>
      </c>
      <c r="FE63" s="13" t="s">
        <v>33</v>
      </c>
      <c r="FF63" s="13" t="s">
        <v>33</v>
      </c>
      <c r="FG63" s="13" t="s">
        <v>33</v>
      </c>
      <c r="FH63" s="13" t="s">
        <v>33</v>
      </c>
      <c r="FI63" s="49" t="s">
        <v>33</v>
      </c>
      <c r="FJ63" s="49" t="s">
        <v>33</v>
      </c>
      <c r="FK63" s="49" t="s">
        <v>33</v>
      </c>
      <c r="FL63" s="49" t="s">
        <v>33</v>
      </c>
      <c r="FM63" s="49" t="s">
        <v>33</v>
      </c>
      <c r="FN63" s="49" t="s">
        <v>33</v>
      </c>
      <c r="FO63" s="49" t="s">
        <v>33</v>
      </c>
      <c r="FP63" s="49" t="s">
        <v>33</v>
      </c>
      <c r="FQ63" s="49" t="s">
        <v>33</v>
      </c>
      <c r="FR63" s="49" t="s">
        <v>33</v>
      </c>
      <c r="FS63" s="49" t="s">
        <v>33</v>
      </c>
      <c r="FT63" s="49" t="s">
        <v>33</v>
      </c>
      <c r="FU63" s="49" t="s">
        <v>33</v>
      </c>
      <c r="FV63" s="49" t="s">
        <v>33</v>
      </c>
      <c r="FW63" s="49" t="s">
        <v>33</v>
      </c>
      <c r="FX63" s="49" t="s">
        <v>33</v>
      </c>
      <c r="FY63" s="49" t="s">
        <v>33</v>
      </c>
      <c r="FZ63" s="49" t="s">
        <v>33</v>
      </c>
      <c r="GA63" s="49" t="s">
        <v>33</v>
      </c>
      <c r="GB63" s="49" t="s">
        <v>33</v>
      </c>
      <c r="GC63" s="49" t="s">
        <v>33</v>
      </c>
      <c r="GD63" s="13" t="s">
        <v>33</v>
      </c>
      <c r="GE63" s="13" t="s">
        <v>33</v>
      </c>
      <c r="GF63" s="13" t="s">
        <v>33</v>
      </c>
      <c r="GG63" s="13" t="s">
        <v>33</v>
      </c>
      <c r="GH63" s="13" t="s">
        <v>33</v>
      </c>
      <c r="GI63" s="13" t="s">
        <v>33</v>
      </c>
      <c r="GJ63" s="59" t="s">
        <v>841</v>
      </c>
    </row>
    <row r="64" s="13" customFormat="true" ht="15.75" hidden="false" customHeight="true" outlineLevel="0" collapsed="false">
      <c r="A64" s="13" t="s">
        <v>302</v>
      </c>
      <c r="B64" s="196"/>
      <c r="C64" s="196"/>
      <c r="D64" s="196"/>
      <c r="E64" s="196"/>
      <c r="F64" s="196"/>
      <c r="G64" s="196"/>
      <c r="H64" s="196"/>
      <c r="I64" s="196"/>
      <c r="J64" s="196"/>
      <c r="K64" s="196"/>
      <c r="L64" s="196"/>
      <c r="M64" s="196"/>
      <c r="N64" s="196"/>
      <c r="O64" s="196"/>
      <c r="P64" s="196"/>
      <c r="Q64" s="196"/>
      <c r="R64" s="196"/>
      <c r="S64" s="196"/>
      <c r="T64" s="196"/>
      <c r="U64" s="196"/>
      <c r="V64" s="196"/>
      <c r="W64" s="196"/>
      <c r="X64" s="196"/>
      <c r="Y64" s="196"/>
      <c r="Z64" s="196"/>
      <c r="AA64" s="196"/>
      <c r="AB64" s="196"/>
      <c r="AC64" s="196"/>
      <c r="AD64" s="196"/>
      <c r="AE64" s="196"/>
      <c r="AF64" s="196"/>
      <c r="AG64" s="196"/>
      <c r="AH64" s="196"/>
      <c r="AI64" s="196"/>
      <c r="AJ64" s="196"/>
      <c r="AK64" s="196"/>
      <c r="AL64" s="196"/>
      <c r="AM64" s="196"/>
      <c r="AN64" s="196"/>
      <c r="AO64" s="196"/>
      <c r="AP64" s="196"/>
      <c r="AQ64" s="196"/>
      <c r="AR64" s="196"/>
      <c r="AS64" s="196"/>
      <c r="AT64" s="196"/>
      <c r="AU64" s="196"/>
      <c r="AV64" s="196"/>
      <c r="AW64" s="196"/>
      <c r="AX64" s="196"/>
      <c r="AY64" s="196"/>
      <c r="AZ64" s="196"/>
      <c r="BA64" s="196"/>
      <c r="BB64" s="196"/>
      <c r="BC64" s="196"/>
      <c r="BD64" s="196"/>
      <c r="BE64" s="196"/>
      <c r="BF64" s="196"/>
      <c r="BG64" s="196"/>
      <c r="BH64" s="196"/>
      <c r="BI64" s="196"/>
      <c r="BJ64" s="196"/>
      <c r="BK64" s="196"/>
      <c r="BL64" s="196"/>
      <c r="BM64" s="196"/>
      <c r="BN64" s="196"/>
      <c r="BO64" s="196"/>
      <c r="BP64" s="196"/>
      <c r="BQ64" s="196"/>
      <c r="BR64" s="196"/>
      <c r="BS64" s="196"/>
      <c r="BT64" s="196"/>
      <c r="BU64" s="196"/>
      <c r="BV64" s="196"/>
      <c r="BW64" s="196"/>
      <c r="BX64" s="196"/>
      <c r="BY64" s="196"/>
      <c r="BZ64" s="196"/>
      <c r="CA64" s="196"/>
      <c r="CB64" s="196"/>
      <c r="CC64" s="196"/>
      <c r="CD64" s="196"/>
      <c r="CE64" s="196"/>
      <c r="CF64" s="196"/>
      <c r="CG64" s="196"/>
      <c r="CH64" s="196"/>
      <c r="CI64" s="196"/>
      <c r="CJ64" s="196"/>
      <c r="CK64" s="196"/>
      <c r="CL64" s="196"/>
      <c r="CM64" s="196"/>
      <c r="CN64" s="196"/>
      <c r="CO64" s="196"/>
      <c r="CP64" s="196"/>
      <c r="CQ64" s="196"/>
      <c r="CR64" s="196"/>
      <c r="CS64" s="196"/>
      <c r="CT64" s="196"/>
      <c r="CU64" s="196"/>
      <c r="CV64" s="196"/>
      <c r="CW64" s="196"/>
      <c r="CX64" s="196"/>
      <c r="CY64" s="196"/>
      <c r="CZ64" s="196"/>
      <c r="DA64" s="196"/>
      <c r="DB64" s="196"/>
      <c r="DC64" s="196"/>
      <c r="DD64" s="196"/>
      <c r="DE64" s="196"/>
      <c r="DF64" s="196"/>
      <c r="DG64" s="196"/>
      <c r="DH64" s="196"/>
      <c r="DI64" s="196"/>
      <c r="DJ64" s="196"/>
      <c r="DK64" s="196"/>
      <c r="DL64" s="196"/>
      <c r="DM64" s="196"/>
      <c r="DN64" s="196"/>
      <c r="DO64" s="196"/>
      <c r="DP64" s="196"/>
      <c r="DQ64" s="196"/>
      <c r="DR64" s="196"/>
      <c r="DS64" s="196"/>
      <c r="DT64" s="196"/>
      <c r="DU64" s="196"/>
      <c r="DV64" s="196"/>
      <c r="DW64" s="196"/>
      <c r="DX64" s="196"/>
      <c r="DY64" s="196"/>
      <c r="DZ64" s="196"/>
      <c r="EA64" s="196"/>
      <c r="EB64" s="196"/>
      <c r="EC64" s="196"/>
      <c r="ED64" s="196"/>
      <c r="EE64" s="196"/>
      <c r="EF64" s="196"/>
      <c r="EG64" s="196"/>
      <c r="EH64" s="196"/>
      <c r="EI64" s="196"/>
      <c r="EJ64" s="196"/>
      <c r="EK64" s="196"/>
      <c r="EL64" s="196"/>
      <c r="EM64" s="196"/>
      <c r="EN64" s="196"/>
      <c r="EO64" s="196"/>
      <c r="EP64" s="196"/>
      <c r="EQ64" s="196"/>
      <c r="ER64" s="196"/>
      <c r="ES64" s="196"/>
      <c r="ET64" s="196"/>
      <c r="EU64" s="196"/>
      <c r="EV64" s="196"/>
      <c r="EW64" s="49" t="s">
        <v>33</v>
      </c>
      <c r="EX64" s="49" t="s">
        <v>33</v>
      </c>
      <c r="EY64" s="49" t="s">
        <v>33</v>
      </c>
      <c r="EZ64" s="49" t="s">
        <v>33</v>
      </c>
      <c r="FA64" s="49" t="s">
        <v>33</v>
      </c>
      <c r="FB64" s="49" t="s">
        <v>33</v>
      </c>
      <c r="FC64" s="49" t="s">
        <v>33</v>
      </c>
      <c r="FD64" s="49" t="s">
        <v>33</v>
      </c>
      <c r="FE64" s="13" t="s">
        <v>33</v>
      </c>
      <c r="FF64" s="13" t="s">
        <v>33</v>
      </c>
      <c r="FG64" s="13" t="s">
        <v>33</v>
      </c>
      <c r="FH64" s="13" t="s">
        <v>33</v>
      </c>
      <c r="FI64" s="49" t="s">
        <v>33</v>
      </c>
      <c r="FJ64" s="49" t="s">
        <v>33</v>
      </c>
      <c r="FK64" s="49" t="s">
        <v>33</v>
      </c>
      <c r="FL64" s="49" t="s">
        <v>33</v>
      </c>
      <c r="FM64" s="49" t="s">
        <v>33</v>
      </c>
      <c r="FN64" s="49" t="s">
        <v>33</v>
      </c>
      <c r="FO64" s="49" t="s">
        <v>41</v>
      </c>
      <c r="FP64" s="49" t="s">
        <v>33</v>
      </c>
      <c r="FQ64" s="49" t="s">
        <v>33</v>
      </c>
      <c r="FR64" s="49" t="s">
        <v>33</v>
      </c>
      <c r="FS64" s="49" t="s">
        <v>33</v>
      </c>
      <c r="FT64" s="49" t="s">
        <v>33</v>
      </c>
      <c r="FU64" s="49" t="s">
        <v>33</v>
      </c>
      <c r="FV64" s="49" t="s">
        <v>33</v>
      </c>
      <c r="FW64" s="49" t="s">
        <v>33</v>
      </c>
      <c r="FX64" s="49" t="s">
        <v>33</v>
      </c>
      <c r="FY64" s="49" t="s">
        <v>33</v>
      </c>
      <c r="FZ64" s="49" t="s">
        <v>33</v>
      </c>
      <c r="GA64" s="49" t="s">
        <v>33</v>
      </c>
      <c r="GB64" s="49" t="s">
        <v>33</v>
      </c>
      <c r="GC64" s="49" t="s">
        <v>33</v>
      </c>
      <c r="GD64" s="13" t="s">
        <v>33</v>
      </c>
      <c r="GE64" s="13" t="s">
        <v>33</v>
      </c>
      <c r="GF64" s="13" t="s">
        <v>33</v>
      </c>
      <c r="GG64" s="13" t="s">
        <v>33</v>
      </c>
      <c r="GH64" s="13" t="s">
        <v>33</v>
      </c>
      <c r="GI64" s="13" t="s">
        <v>33</v>
      </c>
      <c r="GJ64" s="13" t="s">
        <v>33</v>
      </c>
    </row>
    <row r="65" s="13" customFormat="true" ht="15.75" hidden="false" customHeight="true" outlineLevel="0" collapsed="false">
      <c r="A65" s="13" t="s">
        <v>305</v>
      </c>
      <c r="B65" s="196"/>
      <c r="C65" s="196"/>
      <c r="D65" s="196"/>
      <c r="E65" s="196"/>
      <c r="F65" s="196"/>
      <c r="G65" s="196"/>
      <c r="H65" s="196"/>
      <c r="I65" s="196"/>
      <c r="J65" s="196"/>
      <c r="K65" s="196"/>
      <c r="L65" s="196"/>
      <c r="M65" s="196"/>
      <c r="N65" s="196"/>
      <c r="O65" s="196"/>
      <c r="P65" s="196"/>
      <c r="Q65" s="196"/>
      <c r="R65" s="196"/>
      <c r="S65" s="196"/>
      <c r="T65" s="196"/>
      <c r="U65" s="196"/>
      <c r="V65" s="196"/>
      <c r="W65" s="196"/>
      <c r="X65" s="196"/>
      <c r="Y65" s="196"/>
      <c r="Z65" s="196"/>
      <c r="AA65" s="196"/>
      <c r="AB65" s="196"/>
      <c r="AC65" s="196"/>
      <c r="AD65" s="196"/>
      <c r="AE65" s="196"/>
      <c r="AF65" s="196"/>
      <c r="AG65" s="196"/>
      <c r="AH65" s="196"/>
      <c r="AI65" s="196"/>
      <c r="AJ65" s="196"/>
      <c r="AK65" s="196"/>
      <c r="AL65" s="196"/>
      <c r="AM65" s="196"/>
      <c r="AN65" s="196"/>
      <c r="AO65" s="196"/>
      <c r="AP65" s="196"/>
      <c r="AQ65" s="196"/>
      <c r="AR65" s="196"/>
      <c r="AS65" s="196"/>
      <c r="AT65" s="196"/>
      <c r="AU65" s="196"/>
      <c r="AV65" s="196"/>
      <c r="AW65" s="196"/>
      <c r="AX65" s="196"/>
      <c r="AY65" s="196"/>
      <c r="AZ65" s="196"/>
      <c r="BA65" s="196"/>
      <c r="BB65" s="196"/>
      <c r="BC65" s="196"/>
      <c r="BD65" s="196"/>
      <c r="BE65" s="196"/>
      <c r="BF65" s="196"/>
      <c r="BG65" s="196"/>
      <c r="BH65" s="196"/>
      <c r="BI65" s="196"/>
      <c r="BJ65" s="196"/>
      <c r="BK65" s="196"/>
      <c r="BL65" s="196"/>
      <c r="BM65" s="196"/>
      <c r="BN65" s="196"/>
      <c r="BO65" s="196"/>
      <c r="BP65" s="196"/>
      <c r="BQ65" s="196"/>
      <c r="BR65" s="196"/>
      <c r="BS65" s="196"/>
      <c r="BT65" s="196"/>
      <c r="BU65" s="196"/>
      <c r="BV65" s="196"/>
      <c r="BW65" s="196"/>
      <c r="BX65" s="196"/>
      <c r="BY65" s="196"/>
      <c r="BZ65" s="196"/>
      <c r="CA65" s="196"/>
      <c r="CB65" s="196"/>
      <c r="CC65" s="196"/>
      <c r="CD65" s="196"/>
      <c r="CE65" s="196"/>
      <c r="CF65" s="196"/>
      <c r="CG65" s="196"/>
      <c r="CH65" s="196"/>
      <c r="CI65" s="196"/>
      <c r="CJ65" s="196"/>
      <c r="CK65" s="196"/>
      <c r="CL65" s="196"/>
      <c r="CM65" s="196"/>
      <c r="CN65" s="196"/>
      <c r="CO65" s="196"/>
      <c r="CP65" s="196"/>
      <c r="CQ65" s="196"/>
      <c r="CR65" s="196"/>
      <c r="CS65" s="196"/>
      <c r="CT65" s="196"/>
      <c r="CU65" s="196"/>
      <c r="CV65" s="196"/>
      <c r="CW65" s="196"/>
      <c r="CX65" s="196"/>
      <c r="CY65" s="196"/>
      <c r="CZ65" s="196"/>
      <c r="DA65" s="196"/>
      <c r="DB65" s="196"/>
      <c r="DC65" s="196"/>
      <c r="DD65" s="196"/>
      <c r="DE65" s="196"/>
      <c r="DF65" s="196"/>
      <c r="DG65" s="196"/>
      <c r="DH65" s="196"/>
      <c r="DI65" s="196"/>
      <c r="DJ65" s="196"/>
      <c r="DK65" s="196"/>
      <c r="DL65" s="196"/>
      <c r="DM65" s="196"/>
      <c r="DN65" s="196"/>
      <c r="DO65" s="196"/>
      <c r="DP65" s="196"/>
      <c r="DQ65" s="196"/>
      <c r="DR65" s="196"/>
      <c r="DS65" s="196"/>
      <c r="DT65" s="196"/>
      <c r="DU65" s="196"/>
      <c r="DV65" s="196"/>
      <c r="DW65" s="196"/>
      <c r="DX65" s="196"/>
      <c r="DY65" s="196"/>
      <c r="DZ65" s="196"/>
      <c r="EA65" s="196"/>
      <c r="EB65" s="196"/>
      <c r="EC65" s="196"/>
      <c r="ED65" s="196"/>
      <c r="EE65" s="196"/>
      <c r="EF65" s="196"/>
      <c r="EG65" s="196"/>
      <c r="EH65" s="196"/>
      <c r="EI65" s="196"/>
      <c r="EJ65" s="196"/>
      <c r="EK65" s="196"/>
      <c r="EL65" s="196"/>
      <c r="EM65" s="196"/>
      <c r="EN65" s="196"/>
      <c r="EO65" s="196"/>
      <c r="EP65" s="196"/>
      <c r="EQ65" s="196"/>
      <c r="ER65" s="196"/>
      <c r="ES65" s="196"/>
      <c r="ET65" s="196"/>
      <c r="EU65" s="196"/>
      <c r="EV65" s="196"/>
      <c r="EW65" s="49" t="s">
        <v>33</v>
      </c>
      <c r="EX65" s="49" t="s">
        <v>33</v>
      </c>
      <c r="EY65" s="49" t="s">
        <v>33</v>
      </c>
      <c r="EZ65" s="49" t="s">
        <v>33</v>
      </c>
      <c r="FA65" s="49" t="s">
        <v>33</v>
      </c>
      <c r="FB65" s="49" t="s">
        <v>33</v>
      </c>
      <c r="FC65" s="49" t="s">
        <v>33</v>
      </c>
      <c r="FD65" s="49" t="s">
        <v>33</v>
      </c>
      <c r="FE65" s="13" t="s">
        <v>33</v>
      </c>
      <c r="FF65" s="13" t="s">
        <v>33</v>
      </c>
      <c r="FG65" s="13" t="s">
        <v>33</v>
      </c>
      <c r="FH65" s="13" t="s">
        <v>33</v>
      </c>
      <c r="FI65" s="49" t="s">
        <v>41</v>
      </c>
      <c r="FJ65" s="49" t="s">
        <v>33</v>
      </c>
      <c r="FK65" s="49" t="s">
        <v>33</v>
      </c>
      <c r="FL65" s="49" t="s">
        <v>33</v>
      </c>
      <c r="FM65" s="49" t="s">
        <v>33</v>
      </c>
      <c r="FN65" s="49" t="s">
        <v>33</v>
      </c>
      <c r="FO65" s="49" t="s">
        <v>33</v>
      </c>
      <c r="FP65" s="49" t="s">
        <v>33</v>
      </c>
      <c r="FQ65" s="49" t="s">
        <v>33</v>
      </c>
      <c r="FR65" s="49" t="s">
        <v>33</v>
      </c>
      <c r="FS65" s="49" t="s">
        <v>33</v>
      </c>
      <c r="FT65" s="49" t="s">
        <v>33</v>
      </c>
      <c r="FU65" s="49" t="s">
        <v>33</v>
      </c>
      <c r="FV65" s="49" t="s">
        <v>33</v>
      </c>
      <c r="FW65" s="49" t="s">
        <v>33</v>
      </c>
      <c r="FX65" s="49" t="s">
        <v>33</v>
      </c>
      <c r="FY65" s="49" t="s">
        <v>33</v>
      </c>
      <c r="FZ65" s="49" t="s">
        <v>33</v>
      </c>
      <c r="GA65" s="49" t="s">
        <v>33</v>
      </c>
      <c r="GB65" s="49" t="s">
        <v>33</v>
      </c>
      <c r="GC65" s="49" t="s">
        <v>33</v>
      </c>
      <c r="GD65" s="13" t="s">
        <v>33</v>
      </c>
      <c r="GE65" s="13" t="s">
        <v>33</v>
      </c>
      <c r="GF65" s="13" t="s">
        <v>33</v>
      </c>
      <c r="GG65" s="13" t="s">
        <v>33</v>
      </c>
      <c r="GH65" s="13" t="s">
        <v>33</v>
      </c>
      <c r="GI65" s="13" t="s">
        <v>33</v>
      </c>
      <c r="GJ65" s="13" t="s">
        <v>33</v>
      </c>
    </row>
    <row r="66" s="13" customFormat="true" ht="15.75" hidden="false" customHeight="true" outlineLevel="0" collapsed="false">
      <c r="A66" s="13" t="s">
        <v>308</v>
      </c>
      <c r="B66" s="196"/>
      <c r="C66" s="196"/>
      <c r="D66" s="196"/>
      <c r="E66" s="196"/>
      <c r="F66" s="196"/>
      <c r="G66" s="196"/>
      <c r="H66" s="196"/>
      <c r="I66" s="196"/>
      <c r="J66" s="196"/>
      <c r="K66" s="196"/>
      <c r="L66" s="196"/>
      <c r="M66" s="196"/>
      <c r="N66" s="196"/>
      <c r="O66" s="196"/>
      <c r="P66" s="196"/>
      <c r="Q66" s="196"/>
      <c r="R66" s="196"/>
      <c r="S66" s="196"/>
      <c r="T66" s="196"/>
      <c r="U66" s="196"/>
      <c r="V66" s="196"/>
      <c r="W66" s="196"/>
      <c r="X66" s="196"/>
      <c r="Y66" s="196"/>
      <c r="Z66" s="196"/>
      <c r="AA66" s="196"/>
      <c r="AB66" s="196"/>
      <c r="AC66" s="196"/>
      <c r="AD66" s="196"/>
      <c r="AE66" s="196"/>
      <c r="AF66" s="196"/>
      <c r="AG66" s="196"/>
      <c r="AH66" s="196"/>
      <c r="AI66" s="196"/>
      <c r="AJ66" s="196"/>
      <c r="AK66" s="196"/>
      <c r="AL66" s="196"/>
      <c r="AM66" s="196"/>
      <c r="AN66" s="196"/>
      <c r="AO66" s="196"/>
      <c r="AP66" s="196"/>
      <c r="AQ66" s="196"/>
      <c r="AR66" s="196"/>
      <c r="AS66" s="196"/>
      <c r="AT66" s="196"/>
      <c r="AU66" s="196"/>
      <c r="AV66" s="196"/>
      <c r="AW66" s="196"/>
      <c r="AX66" s="196"/>
      <c r="AY66" s="196"/>
      <c r="AZ66" s="196"/>
      <c r="BA66" s="196"/>
      <c r="BB66" s="196"/>
      <c r="BC66" s="196"/>
      <c r="BD66" s="196"/>
      <c r="BE66" s="196"/>
      <c r="BF66" s="196"/>
      <c r="BG66" s="196"/>
      <c r="BH66" s="196"/>
      <c r="BI66" s="196"/>
      <c r="BJ66" s="196"/>
      <c r="BK66" s="196"/>
      <c r="BL66" s="196"/>
      <c r="BM66" s="196"/>
      <c r="BN66" s="196"/>
      <c r="BO66" s="196"/>
      <c r="BP66" s="196"/>
      <c r="BQ66" s="196"/>
      <c r="BR66" s="196"/>
      <c r="BS66" s="196"/>
      <c r="BT66" s="196"/>
      <c r="BU66" s="196"/>
      <c r="BV66" s="196"/>
      <c r="BW66" s="196"/>
      <c r="BX66" s="196"/>
      <c r="BY66" s="196"/>
      <c r="BZ66" s="196"/>
      <c r="CA66" s="196"/>
      <c r="CB66" s="196"/>
      <c r="CC66" s="196"/>
      <c r="CD66" s="196"/>
      <c r="CE66" s="196"/>
      <c r="CF66" s="196"/>
      <c r="CG66" s="196"/>
      <c r="CH66" s="196"/>
      <c r="CI66" s="196"/>
      <c r="CJ66" s="196"/>
      <c r="CK66" s="196"/>
      <c r="CL66" s="196"/>
      <c r="CM66" s="196"/>
      <c r="CN66" s="196"/>
      <c r="CO66" s="196"/>
      <c r="CP66" s="196"/>
      <c r="CQ66" s="196"/>
      <c r="CR66" s="196"/>
      <c r="CS66" s="196"/>
      <c r="CT66" s="196"/>
      <c r="CU66" s="196"/>
      <c r="CV66" s="196"/>
      <c r="CW66" s="196"/>
      <c r="CX66" s="196"/>
      <c r="CY66" s="196"/>
      <c r="CZ66" s="196"/>
      <c r="DA66" s="196"/>
      <c r="DB66" s="196"/>
      <c r="DC66" s="196"/>
      <c r="DD66" s="196"/>
      <c r="DE66" s="196"/>
      <c r="DF66" s="196"/>
      <c r="DG66" s="196"/>
      <c r="DH66" s="196"/>
      <c r="DI66" s="196"/>
      <c r="DJ66" s="196"/>
      <c r="DK66" s="196"/>
      <c r="DL66" s="196"/>
      <c r="DM66" s="196"/>
      <c r="DN66" s="196"/>
      <c r="DO66" s="196"/>
      <c r="DP66" s="196"/>
      <c r="DQ66" s="196"/>
      <c r="DR66" s="196"/>
      <c r="DS66" s="196"/>
      <c r="DT66" s="196"/>
      <c r="DU66" s="196"/>
      <c r="DV66" s="196"/>
      <c r="DW66" s="196"/>
      <c r="DX66" s="196"/>
      <c r="DY66" s="196"/>
      <c r="DZ66" s="196"/>
      <c r="EA66" s="196"/>
      <c r="EB66" s="196"/>
      <c r="EC66" s="196"/>
      <c r="ED66" s="196"/>
      <c r="EE66" s="196"/>
      <c r="EF66" s="196"/>
      <c r="EG66" s="196"/>
      <c r="EH66" s="196"/>
      <c r="EI66" s="196"/>
      <c r="EJ66" s="196"/>
      <c r="EK66" s="196"/>
      <c r="EL66" s="196"/>
      <c r="EM66" s="196"/>
      <c r="EN66" s="196"/>
      <c r="EO66" s="196"/>
      <c r="EP66" s="196"/>
      <c r="EQ66" s="196"/>
      <c r="ER66" s="196"/>
      <c r="ES66" s="196"/>
      <c r="ET66" s="196"/>
      <c r="EU66" s="196"/>
      <c r="EV66" s="196"/>
      <c r="EW66" s="196"/>
      <c r="EX66" s="196"/>
      <c r="EY66" s="196"/>
      <c r="EZ66" s="196"/>
      <c r="FA66" s="196"/>
      <c r="FB66" s="196"/>
      <c r="FC66" s="49" t="s">
        <v>33</v>
      </c>
      <c r="FD66" s="49" t="s">
        <v>33</v>
      </c>
      <c r="FE66" s="13" t="s">
        <v>33</v>
      </c>
      <c r="FF66" s="13" t="s">
        <v>33</v>
      </c>
      <c r="FG66" s="13" t="s">
        <v>33</v>
      </c>
      <c r="FH66" s="13" t="s">
        <v>33</v>
      </c>
      <c r="FI66" s="49" t="s">
        <v>33</v>
      </c>
      <c r="FJ66" s="49" t="s">
        <v>33</v>
      </c>
      <c r="FK66" s="49" t="s">
        <v>33</v>
      </c>
      <c r="FL66" s="49" t="s">
        <v>33</v>
      </c>
      <c r="FM66" s="49" t="s">
        <v>33</v>
      </c>
      <c r="FN66" s="49" t="s">
        <v>33</v>
      </c>
      <c r="FO66" s="49" t="s">
        <v>33</v>
      </c>
      <c r="FP66" s="49" t="s">
        <v>33</v>
      </c>
      <c r="FQ66" s="49" t="s">
        <v>33</v>
      </c>
      <c r="FR66" s="49" t="s">
        <v>33</v>
      </c>
      <c r="FS66" s="49" t="s">
        <v>33</v>
      </c>
      <c r="FT66" s="49" t="s">
        <v>33</v>
      </c>
      <c r="FU66" s="49" t="s">
        <v>33</v>
      </c>
      <c r="FV66" s="49" t="s">
        <v>33</v>
      </c>
      <c r="FW66" s="49" t="s">
        <v>33</v>
      </c>
      <c r="FX66" s="49" t="s">
        <v>33</v>
      </c>
      <c r="FY66" s="49" t="s">
        <v>33</v>
      </c>
      <c r="FZ66" s="49" t="s">
        <v>33</v>
      </c>
      <c r="GA66" s="49" t="s">
        <v>33</v>
      </c>
      <c r="GB66" s="49" t="s">
        <v>33</v>
      </c>
      <c r="GC66" s="49" t="s">
        <v>33</v>
      </c>
      <c r="GD66" s="13" t="s">
        <v>33</v>
      </c>
      <c r="GE66" s="13" t="s">
        <v>33</v>
      </c>
      <c r="GF66" s="13" t="s">
        <v>33</v>
      </c>
      <c r="GG66" s="13" t="s">
        <v>33</v>
      </c>
      <c r="GH66" s="13" t="s">
        <v>33</v>
      </c>
      <c r="GI66" s="13" t="s">
        <v>33</v>
      </c>
      <c r="GJ66" s="13" t="s">
        <v>33</v>
      </c>
    </row>
    <row r="67" s="13" customFormat="true" ht="15.75" hidden="false" customHeight="true" outlineLevel="0" collapsed="false">
      <c r="A67" s="13" t="s">
        <v>311</v>
      </c>
      <c r="B67" s="196"/>
      <c r="C67" s="196"/>
      <c r="D67" s="196"/>
      <c r="E67" s="196"/>
      <c r="F67" s="196"/>
      <c r="G67" s="196"/>
      <c r="H67" s="196"/>
      <c r="I67" s="196"/>
      <c r="J67" s="196"/>
      <c r="K67" s="196"/>
      <c r="L67" s="196"/>
      <c r="M67" s="196"/>
      <c r="N67" s="196"/>
      <c r="O67" s="196"/>
      <c r="P67" s="196"/>
      <c r="Q67" s="196"/>
      <c r="R67" s="196"/>
      <c r="S67" s="196"/>
      <c r="T67" s="196"/>
      <c r="U67" s="196"/>
      <c r="V67" s="196"/>
      <c r="W67" s="196"/>
      <c r="X67" s="196"/>
      <c r="Y67" s="196"/>
      <c r="Z67" s="196"/>
      <c r="AA67" s="196"/>
      <c r="AB67" s="196"/>
      <c r="AC67" s="196"/>
      <c r="AD67" s="196"/>
      <c r="AE67" s="196"/>
      <c r="AF67" s="196"/>
      <c r="AG67" s="196"/>
      <c r="AH67" s="196"/>
      <c r="AI67" s="196"/>
      <c r="AJ67" s="196"/>
      <c r="AK67" s="196"/>
      <c r="AL67" s="196"/>
      <c r="AM67" s="196"/>
      <c r="AN67" s="196"/>
      <c r="AO67" s="196"/>
      <c r="AP67" s="196"/>
      <c r="AQ67" s="196"/>
      <c r="AR67" s="196"/>
      <c r="AS67" s="196"/>
      <c r="AT67" s="196"/>
      <c r="AU67" s="196"/>
      <c r="AV67" s="196"/>
      <c r="AW67" s="196"/>
      <c r="AX67" s="196"/>
      <c r="AY67" s="196"/>
      <c r="AZ67" s="196"/>
      <c r="BA67" s="196"/>
      <c r="BB67" s="196"/>
      <c r="BC67" s="196"/>
      <c r="BD67" s="196"/>
      <c r="BE67" s="196"/>
      <c r="BF67" s="196"/>
      <c r="BG67" s="196"/>
      <c r="BH67" s="196"/>
      <c r="BI67" s="196"/>
      <c r="BJ67" s="196"/>
      <c r="BK67" s="196"/>
      <c r="BL67" s="196"/>
      <c r="BM67" s="196"/>
      <c r="BN67" s="196"/>
      <c r="BO67" s="196"/>
      <c r="BP67" s="196"/>
      <c r="BQ67" s="196"/>
      <c r="BR67" s="196"/>
      <c r="BS67" s="196"/>
      <c r="BT67" s="196"/>
      <c r="BU67" s="196"/>
      <c r="BV67" s="196"/>
      <c r="BW67" s="196"/>
      <c r="BX67" s="196"/>
      <c r="BY67" s="196"/>
      <c r="BZ67" s="196"/>
      <c r="CA67" s="196"/>
      <c r="CB67" s="196"/>
      <c r="CC67" s="196"/>
      <c r="CD67" s="196"/>
      <c r="CE67" s="196"/>
      <c r="CF67" s="196"/>
      <c r="CG67" s="196"/>
      <c r="CH67" s="196"/>
      <c r="CI67" s="196"/>
      <c r="CJ67" s="196"/>
      <c r="CK67" s="196"/>
      <c r="CL67" s="196"/>
      <c r="CM67" s="196"/>
      <c r="CN67" s="196"/>
      <c r="CO67" s="196"/>
      <c r="CP67" s="196"/>
      <c r="CQ67" s="196"/>
      <c r="CR67" s="196"/>
      <c r="CS67" s="196"/>
      <c r="CT67" s="196"/>
      <c r="CU67" s="196"/>
      <c r="CV67" s="196"/>
      <c r="CW67" s="196"/>
      <c r="CX67" s="196"/>
      <c r="CY67" s="196"/>
      <c r="CZ67" s="196"/>
      <c r="DA67" s="196"/>
      <c r="DB67" s="196"/>
      <c r="DC67" s="196"/>
      <c r="DD67" s="196"/>
      <c r="DE67" s="196"/>
      <c r="DF67" s="196"/>
      <c r="DG67" s="196"/>
      <c r="DH67" s="196"/>
      <c r="DI67" s="196"/>
      <c r="DJ67" s="196"/>
      <c r="DK67" s="196"/>
      <c r="DL67" s="196"/>
      <c r="DM67" s="196"/>
      <c r="DN67" s="196"/>
      <c r="DO67" s="196"/>
      <c r="DP67" s="196"/>
      <c r="DQ67" s="196"/>
      <c r="DR67" s="196"/>
      <c r="DS67" s="196"/>
      <c r="DT67" s="196"/>
      <c r="DU67" s="196"/>
      <c r="DV67" s="196"/>
      <c r="DW67" s="196"/>
      <c r="DX67" s="196"/>
      <c r="DY67" s="196"/>
      <c r="DZ67" s="196"/>
      <c r="EA67" s="196"/>
      <c r="EB67" s="196"/>
      <c r="EC67" s="196"/>
      <c r="ED67" s="196"/>
      <c r="EE67" s="196"/>
      <c r="EF67" s="196"/>
      <c r="EG67" s="196"/>
      <c r="EH67" s="196"/>
      <c r="EI67" s="196"/>
      <c r="EJ67" s="196"/>
      <c r="EK67" s="196"/>
      <c r="EL67" s="196"/>
      <c r="EM67" s="196"/>
      <c r="EN67" s="196"/>
      <c r="EO67" s="196"/>
      <c r="EP67" s="196"/>
      <c r="EQ67" s="196"/>
      <c r="ER67" s="196"/>
      <c r="ES67" s="196"/>
      <c r="ET67" s="196"/>
      <c r="EU67" s="196"/>
      <c r="EV67" s="196"/>
      <c r="EW67" s="196"/>
      <c r="EX67" s="196"/>
      <c r="EY67" s="49" t="s">
        <v>33</v>
      </c>
      <c r="EZ67" s="49" t="s">
        <v>33</v>
      </c>
      <c r="FA67" s="49" t="s">
        <v>33</v>
      </c>
      <c r="FB67" s="49" t="s">
        <v>33</v>
      </c>
      <c r="FC67" s="49" t="s">
        <v>33</v>
      </c>
      <c r="FD67" s="49" t="s">
        <v>33</v>
      </c>
      <c r="FE67" s="13" t="s">
        <v>33</v>
      </c>
      <c r="FF67" s="13" t="s">
        <v>33</v>
      </c>
      <c r="FG67" s="13" t="s">
        <v>33</v>
      </c>
      <c r="FH67" s="13" t="s">
        <v>33</v>
      </c>
      <c r="FI67" s="49" t="s">
        <v>33</v>
      </c>
      <c r="FJ67" s="49" t="s">
        <v>33</v>
      </c>
      <c r="FK67" s="49" t="s">
        <v>33</v>
      </c>
      <c r="FL67" s="49" t="s">
        <v>33</v>
      </c>
      <c r="FM67" s="49" t="s">
        <v>33</v>
      </c>
      <c r="FN67" s="49" t="s">
        <v>33</v>
      </c>
      <c r="FO67" s="49" t="s">
        <v>33</v>
      </c>
      <c r="FP67" s="49" t="s">
        <v>33</v>
      </c>
      <c r="FQ67" s="49" t="s">
        <v>33</v>
      </c>
      <c r="FR67" s="49" t="s">
        <v>33</v>
      </c>
      <c r="FS67" s="49" t="s">
        <v>33</v>
      </c>
      <c r="FT67" s="49" t="s">
        <v>33</v>
      </c>
      <c r="FU67" s="49" t="s">
        <v>33</v>
      </c>
      <c r="FV67" s="49" t="s">
        <v>33</v>
      </c>
      <c r="FW67" s="49" t="s">
        <v>33</v>
      </c>
      <c r="FX67" s="49" t="s">
        <v>33</v>
      </c>
      <c r="FY67" s="49" t="s">
        <v>33</v>
      </c>
      <c r="FZ67" s="49" t="s">
        <v>33</v>
      </c>
      <c r="GA67" s="49" t="s">
        <v>33</v>
      </c>
      <c r="GB67" s="49" t="s">
        <v>33</v>
      </c>
      <c r="GC67" s="49" t="s">
        <v>33</v>
      </c>
      <c r="GD67" s="13" t="s">
        <v>33</v>
      </c>
      <c r="GE67" s="13" t="s">
        <v>33</v>
      </c>
      <c r="GF67" s="13" t="s">
        <v>33</v>
      </c>
      <c r="GG67" s="13" t="s">
        <v>33</v>
      </c>
      <c r="GH67" s="13" t="s">
        <v>33</v>
      </c>
      <c r="GI67" s="13" t="s">
        <v>33</v>
      </c>
      <c r="GJ67" s="13" t="s">
        <v>33</v>
      </c>
    </row>
    <row r="68" s="13" customFormat="true" ht="15.75" hidden="false" customHeight="true" outlineLevel="0" collapsed="false">
      <c r="A68" s="13" t="s">
        <v>314</v>
      </c>
      <c r="B68" s="196"/>
      <c r="C68" s="196"/>
      <c r="D68" s="196"/>
      <c r="E68" s="196"/>
      <c r="F68" s="196"/>
      <c r="G68" s="196"/>
      <c r="H68" s="196"/>
      <c r="I68" s="196"/>
      <c r="J68" s="196"/>
      <c r="K68" s="196"/>
      <c r="L68" s="196"/>
      <c r="M68" s="196"/>
      <c r="N68" s="196"/>
      <c r="O68" s="196"/>
      <c r="P68" s="196"/>
      <c r="Q68" s="196"/>
      <c r="R68" s="196"/>
      <c r="S68" s="196"/>
      <c r="T68" s="196"/>
      <c r="U68" s="196"/>
      <c r="V68" s="196"/>
      <c r="W68" s="196"/>
      <c r="X68" s="196"/>
      <c r="Y68" s="196"/>
      <c r="Z68" s="196"/>
      <c r="AA68" s="196"/>
      <c r="AB68" s="196"/>
      <c r="AC68" s="196"/>
      <c r="AD68" s="196"/>
      <c r="AE68" s="196"/>
      <c r="AF68" s="196"/>
      <c r="AG68" s="196"/>
      <c r="AH68" s="196"/>
      <c r="AI68" s="196"/>
      <c r="AJ68" s="196"/>
      <c r="AK68" s="196"/>
      <c r="AL68" s="196"/>
      <c r="AM68" s="196"/>
      <c r="AN68" s="196"/>
      <c r="AO68" s="196"/>
      <c r="AP68" s="196"/>
      <c r="AQ68" s="196"/>
      <c r="AR68" s="196"/>
      <c r="AS68" s="196"/>
      <c r="AT68" s="196"/>
      <c r="AU68" s="196"/>
      <c r="AV68" s="196"/>
      <c r="AW68" s="196"/>
      <c r="AX68" s="196"/>
      <c r="AY68" s="196"/>
      <c r="AZ68" s="196"/>
      <c r="BA68" s="196"/>
      <c r="BB68" s="196"/>
      <c r="BC68" s="196"/>
      <c r="BD68" s="196"/>
      <c r="BE68" s="196"/>
      <c r="BF68" s="196"/>
      <c r="BG68" s="196"/>
      <c r="BH68" s="196"/>
      <c r="BI68" s="196"/>
      <c r="BJ68" s="196"/>
      <c r="BK68" s="196"/>
      <c r="BL68" s="196"/>
      <c r="BM68" s="196"/>
      <c r="BN68" s="196"/>
      <c r="BO68" s="196"/>
      <c r="BP68" s="196"/>
      <c r="BQ68" s="196"/>
      <c r="BR68" s="196"/>
      <c r="BS68" s="196"/>
      <c r="BT68" s="196"/>
      <c r="BU68" s="196"/>
      <c r="BV68" s="196"/>
      <c r="BW68" s="196"/>
      <c r="BX68" s="196"/>
      <c r="BY68" s="196"/>
      <c r="BZ68" s="196"/>
      <c r="CA68" s="196"/>
      <c r="CB68" s="196"/>
      <c r="CC68" s="196"/>
      <c r="CD68" s="196"/>
      <c r="CE68" s="196"/>
      <c r="CF68" s="196"/>
      <c r="CG68" s="196"/>
      <c r="CH68" s="196"/>
      <c r="CI68" s="196"/>
      <c r="CJ68" s="196"/>
      <c r="CK68" s="196"/>
      <c r="CL68" s="196"/>
      <c r="CM68" s="196"/>
      <c r="CN68" s="196"/>
      <c r="CO68" s="196"/>
      <c r="CP68" s="196"/>
      <c r="CQ68" s="196"/>
      <c r="CR68" s="196"/>
      <c r="CS68" s="196"/>
      <c r="CT68" s="196"/>
      <c r="CU68" s="196"/>
      <c r="CV68" s="196"/>
      <c r="CW68" s="196"/>
      <c r="CX68" s="196"/>
      <c r="CY68" s="196"/>
      <c r="CZ68" s="196"/>
      <c r="DA68" s="196"/>
      <c r="DB68" s="196"/>
      <c r="DC68" s="196"/>
      <c r="DD68" s="196"/>
      <c r="DE68" s="196"/>
      <c r="DF68" s="196"/>
      <c r="DG68" s="196"/>
      <c r="DH68" s="196"/>
      <c r="DI68" s="196"/>
      <c r="DJ68" s="196"/>
      <c r="DK68" s="196"/>
      <c r="DL68" s="196"/>
      <c r="DM68" s="196"/>
      <c r="DN68" s="196"/>
      <c r="DO68" s="196"/>
      <c r="DP68" s="196"/>
      <c r="DQ68" s="196"/>
      <c r="DR68" s="196"/>
      <c r="DS68" s="196"/>
      <c r="DT68" s="196"/>
      <c r="DU68" s="196"/>
      <c r="DV68" s="196"/>
      <c r="DW68" s="196"/>
      <c r="DX68" s="196"/>
      <c r="DY68" s="196"/>
      <c r="DZ68" s="196"/>
      <c r="EA68" s="196"/>
      <c r="EB68" s="196"/>
      <c r="EC68" s="196"/>
      <c r="ED68" s="196"/>
      <c r="EE68" s="196"/>
      <c r="EF68" s="196"/>
      <c r="EG68" s="196"/>
      <c r="EH68" s="196"/>
      <c r="EI68" s="196"/>
      <c r="EJ68" s="196"/>
      <c r="EK68" s="196"/>
      <c r="EL68" s="196"/>
      <c r="EM68" s="196"/>
      <c r="EN68" s="196"/>
      <c r="EO68" s="196"/>
      <c r="EP68" s="196"/>
      <c r="EQ68" s="196"/>
      <c r="ER68" s="196"/>
      <c r="ES68" s="196"/>
      <c r="ET68" s="196"/>
      <c r="EU68" s="196"/>
      <c r="EV68" s="196"/>
      <c r="EW68" s="196"/>
      <c r="EX68" s="196"/>
      <c r="EY68" s="196"/>
      <c r="EZ68" s="49" t="s">
        <v>33</v>
      </c>
      <c r="FA68" s="49" t="s">
        <v>33</v>
      </c>
      <c r="FB68" s="49" t="s">
        <v>33</v>
      </c>
      <c r="FC68" s="49" t="s">
        <v>33</v>
      </c>
      <c r="FD68" s="49" t="s">
        <v>33</v>
      </c>
      <c r="FE68" s="13" t="s">
        <v>33</v>
      </c>
      <c r="FF68" s="13" t="s">
        <v>33</v>
      </c>
      <c r="FG68" s="13" t="s">
        <v>33</v>
      </c>
      <c r="FH68" s="13" t="s">
        <v>33</v>
      </c>
      <c r="FI68" s="49" t="s">
        <v>33</v>
      </c>
      <c r="FJ68" s="49" t="s">
        <v>33</v>
      </c>
      <c r="FK68" s="49" t="s">
        <v>33</v>
      </c>
      <c r="FL68" s="49" t="s">
        <v>33</v>
      </c>
      <c r="FM68" s="49" t="s">
        <v>33</v>
      </c>
      <c r="FN68" s="49" t="s">
        <v>33</v>
      </c>
      <c r="FO68" s="49" t="s">
        <v>33</v>
      </c>
      <c r="FP68" s="49" t="s">
        <v>33</v>
      </c>
      <c r="FQ68" s="49" t="s">
        <v>33</v>
      </c>
      <c r="FR68" s="49" t="s">
        <v>33</v>
      </c>
      <c r="FS68" s="49" t="s">
        <v>33</v>
      </c>
      <c r="FT68" s="49" t="s">
        <v>33</v>
      </c>
      <c r="FU68" s="49" t="s">
        <v>33</v>
      </c>
      <c r="FV68" s="49" t="s">
        <v>33</v>
      </c>
      <c r="FW68" s="49" t="s">
        <v>33</v>
      </c>
      <c r="FX68" s="49" t="s">
        <v>33</v>
      </c>
      <c r="FY68" s="49" t="s">
        <v>33</v>
      </c>
      <c r="FZ68" s="49" t="s">
        <v>33</v>
      </c>
      <c r="GA68" s="49" t="s">
        <v>33</v>
      </c>
      <c r="GB68" s="49" t="s">
        <v>33</v>
      </c>
      <c r="GC68" s="49" t="s">
        <v>33</v>
      </c>
      <c r="GD68" s="13" t="s">
        <v>33</v>
      </c>
      <c r="GE68" s="13" t="s">
        <v>33</v>
      </c>
      <c r="GF68" s="13" t="s">
        <v>33</v>
      </c>
      <c r="GG68" s="13" t="s">
        <v>33</v>
      </c>
      <c r="GH68" s="13" t="s">
        <v>33</v>
      </c>
      <c r="GI68" s="13" t="s">
        <v>33</v>
      </c>
      <c r="GJ68" s="13" t="s">
        <v>33</v>
      </c>
    </row>
    <row r="69" s="13" customFormat="true" ht="15.75" hidden="false" customHeight="true" outlineLevel="0" collapsed="false">
      <c r="A69" s="13" t="s">
        <v>317</v>
      </c>
      <c r="B69" s="196"/>
      <c r="C69" s="196"/>
      <c r="D69" s="196"/>
      <c r="E69" s="196"/>
      <c r="F69" s="196"/>
      <c r="G69" s="196"/>
      <c r="H69" s="196"/>
      <c r="I69" s="196"/>
      <c r="J69" s="196"/>
      <c r="K69" s="196"/>
      <c r="L69" s="196"/>
      <c r="M69" s="196"/>
      <c r="N69" s="196"/>
      <c r="O69" s="196"/>
      <c r="P69" s="196"/>
      <c r="Q69" s="196"/>
      <c r="R69" s="196"/>
      <c r="S69" s="196"/>
      <c r="T69" s="196"/>
      <c r="U69" s="196"/>
      <c r="V69" s="196"/>
      <c r="W69" s="196"/>
      <c r="X69" s="196"/>
      <c r="Y69" s="196"/>
      <c r="Z69" s="196"/>
      <c r="AA69" s="196"/>
      <c r="AB69" s="196"/>
      <c r="AC69" s="196"/>
      <c r="AD69" s="196"/>
      <c r="AE69" s="196"/>
      <c r="AF69" s="196"/>
      <c r="AG69" s="196"/>
      <c r="AH69" s="196"/>
      <c r="AI69" s="196"/>
      <c r="AJ69" s="196"/>
      <c r="AK69" s="196"/>
      <c r="AL69" s="196"/>
      <c r="AM69" s="196"/>
      <c r="AN69" s="196"/>
      <c r="AO69" s="196"/>
      <c r="AP69" s="196"/>
      <c r="AQ69" s="196"/>
      <c r="AR69" s="196"/>
      <c r="AS69" s="196"/>
      <c r="AT69" s="196"/>
      <c r="AU69" s="196"/>
      <c r="AV69" s="196"/>
      <c r="AW69" s="196"/>
      <c r="AX69" s="196"/>
      <c r="AY69" s="196"/>
      <c r="AZ69" s="196"/>
      <c r="BA69" s="196"/>
      <c r="BB69" s="196"/>
      <c r="BC69" s="196"/>
      <c r="BD69" s="196"/>
      <c r="BE69" s="196"/>
      <c r="BF69" s="196"/>
      <c r="BG69" s="196"/>
      <c r="BH69" s="196"/>
      <c r="BI69" s="196"/>
      <c r="BJ69" s="196"/>
      <c r="BK69" s="196"/>
      <c r="BL69" s="196"/>
      <c r="BM69" s="196"/>
      <c r="BN69" s="196"/>
      <c r="BO69" s="196"/>
      <c r="BP69" s="196"/>
      <c r="BQ69" s="196"/>
      <c r="BR69" s="196"/>
      <c r="BS69" s="196"/>
      <c r="BT69" s="196"/>
      <c r="BU69" s="196"/>
      <c r="BV69" s="196"/>
      <c r="BW69" s="196"/>
      <c r="BX69" s="196"/>
      <c r="BY69" s="196"/>
      <c r="BZ69" s="196"/>
      <c r="CA69" s="196"/>
      <c r="CB69" s="196"/>
      <c r="CC69" s="196"/>
      <c r="CD69" s="196"/>
      <c r="CE69" s="196"/>
      <c r="CF69" s="196"/>
      <c r="CG69" s="196"/>
      <c r="CH69" s="196"/>
      <c r="CI69" s="196"/>
      <c r="CJ69" s="196"/>
      <c r="CK69" s="196"/>
      <c r="CL69" s="196"/>
      <c r="CM69" s="196"/>
      <c r="CN69" s="196"/>
      <c r="CO69" s="196"/>
      <c r="CP69" s="196"/>
      <c r="CQ69" s="196"/>
      <c r="CR69" s="196"/>
      <c r="CS69" s="196"/>
      <c r="CT69" s="196"/>
      <c r="CU69" s="196"/>
      <c r="CV69" s="196"/>
      <c r="CW69" s="196"/>
      <c r="CX69" s="196"/>
      <c r="CY69" s="196"/>
      <c r="CZ69" s="196"/>
      <c r="DA69" s="196"/>
      <c r="DB69" s="196"/>
      <c r="DC69" s="196"/>
      <c r="DD69" s="196"/>
      <c r="DE69" s="196"/>
      <c r="DF69" s="196"/>
      <c r="DG69" s="196"/>
      <c r="DH69" s="196"/>
      <c r="DI69" s="196"/>
      <c r="DJ69" s="196"/>
      <c r="DK69" s="196"/>
      <c r="DL69" s="196"/>
      <c r="DM69" s="196"/>
      <c r="DN69" s="196"/>
      <c r="DO69" s="196"/>
      <c r="DP69" s="196"/>
      <c r="DQ69" s="196"/>
      <c r="DR69" s="196"/>
      <c r="DS69" s="196"/>
      <c r="DT69" s="196"/>
      <c r="DU69" s="196"/>
      <c r="DV69" s="196"/>
      <c r="DW69" s="196"/>
      <c r="DX69" s="196"/>
      <c r="DY69" s="196"/>
      <c r="DZ69" s="196"/>
      <c r="EA69" s="196"/>
      <c r="EB69" s="196"/>
      <c r="EC69" s="196"/>
      <c r="ED69" s="196"/>
      <c r="EE69" s="196"/>
      <c r="EF69" s="196"/>
      <c r="EG69" s="196"/>
      <c r="EH69" s="196"/>
      <c r="EI69" s="196"/>
      <c r="EJ69" s="196"/>
      <c r="EK69" s="196"/>
      <c r="EL69" s="196"/>
      <c r="EM69" s="196"/>
      <c r="EN69" s="196"/>
      <c r="EO69" s="196"/>
      <c r="EP69" s="196"/>
      <c r="EQ69" s="196"/>
      <c r="ER69" s="196"/>
      <c r="ES69" s="196"/>
      <c r="ET69" s="196"/>
      <c r="EU69" s="196"/>
      <c r="EV69" s="196"/>
      <c r="EW69" s="196"/>
      <c r="EX69" s="196"/>
      <c r="EY69" s="196"/>
      <c r="EZ69" s="49" t="s">
        <v>33</v>
      </c>
      <c r="FA69" s="49" t="s">
        <v>33</v>
      </c>
      <c r="FB69" s="49" t="s">
        <v>33</v>
      </c>
      <c r="FC69" s="49" t="s">
        <v>33</v>
      </c>
      <c r="FD69" s="49" t="s">
        <v>33</v>
      </c>
      <c r="FE69" s="13" t="s">
        <v>33</v>
      </c>
      <c r="FF69" s="13" t="s">
        <v>33</v>
      </c>
      <c r="FG69" s="13" t="s">
        <v>33</v>
      </c>
      <c r="FH69" s="13" t="s">
        <v>33</v>
      </c>
      <c r="FI69" s="49" t="s">
        <v>33</v>
      </c>
      <c r="FJ69" s="49" t="s">
        <v>33</v>
      </c>
      <c r="FK69" s="49" t="s">
        <v>33</v>
      </c>
      <c r="FL69" s="49" t="s">
        <v>33</v>
      </c>
      <c r="FM69" s="49" t="s">
        <v>33</v>
      </c>
      <c r="FN69" s="49" t="s">
        <v>33</v>
      </c>
      <c r="FO69" s="49" t="s">
        <v>33</v>
      </c>
      <c r="FP69" s="49" t="s">
        <v>33</v>
      </c>
      <c r="FQ69" s="49" t="s">
        <v>33</v>
      </c>
      <c r="FR69" s="49" t="s">
        <v>33</v>
      </c>
      <c r="FS69" s="49" t="s">
        <v>33</v>
      </c>
      <c r="FT69" s="49" t="s">
        <v>33</v>
      </c>
      <c r="FU69" s="49" t="s">
        <v>33</v>
      </c>
      <c r="FV69" s="49" t="s">
        <v>33</v>
      </c>
      <c r="FW69" s="49" t="s">
        <v>33</v>
      </c>
      <c r="FX69" s="49" t="s">
        <v>33</v>
      </c>
      <c r="FY69" s="49" t="s">
        <v>33</v>
      </c>
      <c r="FZ69" s="49" t="s">
        <v>33</v>
      </c>
      <c r="GA69" s="49" t="s">
        <v>33</v>
      </c>
      <c r="GB69" s="49" t="s">
        <v>41</v>
      </c>
      <c r="GC69" s="49" t="s">
        <v>41</v>
      </c>
      <c r="GD69" s="13" t="s">
        <v>41</v>
      </c>
      <c r="GE69" s="49" t="s">
        <v>33</v>
      </c>
      <c r="GF69" s="193" t="s">
        <v>843</v>
      </c>
      <c r="GG69" s="193" t="s">
        <v>843</v>
      </c>
      <c r="GH69" s="193" t="s">
        <v>843</v>
      </c>
      <c r="GI69" s="13" t="s">
        <v>33</v>
      </c>
      <c r="GJ69" s="13" t="s">
        <v>33</v>
      </c>
    </row>
    <row r="70" s="13" customFormat="true" ht="15.75" hidden="false" customHeight="true" outlineLevel="0" collapsed="false">
      <c r="A70" s="13" t="s">
        <v>320</v>
      </c>
      <c r="B70" s="196"/>
      <c r="C70" s="196"/>
      <c r="D70" s="196"/>
      <c r="E70" s="196"/>
      <c r="F70" s="196"/>
      <c r="G70" s="196"/>
      <c r="H70" s="196"/>
      <c r="I70" s="196"/>
      <c r="J70" s="196"/>
      <c r="K70" s="196"/>
      <c r="L70" s="196"/>
      <c r="M70" s="196"/>
      <c r="N70" s="196"/>
      <c r="O70" s="196"/>
      <c r="P70" s="196"/>
      <c r="Q70" s="196"/>
      <c r="R70" s="196"/>
      <c r="S70" s="196"/>
      <c r="T70" s="196"/>
      <c r="U70" s="196"/>
      <c r="V70" s="196"/>
      <c r="W70" s="196"/>
      <c r="X70" s="196"/>
      <c r="Y70" s="196"/>
      <c r="Z70" s="196"/>
      <c r="AA70" s="196"/>
      <c r="AB70" s="196"/>
      <c r="AC70" s="196"/>
      <c r="AD70" s="196"/>
      <c r="AE70" s="196"/>
      <c r="AF70" s="196"/>
      <c r="AG70" s="196"/>
      <c r="AH70" s="196"/>
      <c r="AI70" s="196"/>
      <c r="AJ70" s="196"/>
      <c r="AK70" s="196"/>
      <c r="AL70" s="196"/>
      <c r="AM70" s="196"/>
      <c r="AN70" s="196"/>
      <c r="AO70" s="196"/>
      <c r="AP70" s="196"/>
      <c r="AQ70" s="196"/>
      <c r="AR70" s="196"/>
      <c r="AS70" s="196"/>
      <c r="AT70" s="196"/>
      <c r="AU70" s="196"/>
      <c r="AV70" s="196"/>
      <c r="AW70" s="196"/>
      <c r="AX70" s="196"/>
      <c r="AY70" s="196"/>
      <c r="AZ70" s="196"/>
      <c r="BA70" s="196"/>
      <c r="BB70" s="196"/>
      <c r="BC70" s="196"/>
      <c r="BD70" s="196"/>
      <c r="BE70" s="196"/>
      <c r="BF70" s="196"/>
      <c r="BG70" s="196"/>
      <c r="BH70" s="196"/>
      <c r="BI70" s="196"/>
      <c r="BJ70" s="196"/>
      <c r="BK70" s="196"/>
      <c r="BL70" s="196"/>
      <c r="BM70" s="196"/>
      <c r="BN70" s="196"/>
      <c r="BO70" s="196"/>
      <c r="BP70" s="196"/>
      <c r="BQ70" s="196"/>
      <c r="BR70" s="196"/>
      <c r="BS70" s="196"/>
      <c r="BT70" s="196"/>
      <c r="BU70" s="196"/>
      <c r="BV70" s="196"/>
      <c r="BW70" s="196"/>
      <c r="BX70" s="196"/>
      <c r="BY70" s="196"/>
      <c r="BZ70" s="196"/>
      <c r="CA70" s="196"/>
      <c r="CB70" s="196"/>
      <c r="CC70" s="196"/>
      <c r="CD70" s="196"/>
      <c r="CE70" s="196"/>
      <c r="CF70" s="196"/>
      <c r="CG70" s="196"/>
      <c r="CH70" s="196"/>
      <c r="CI70" s="196"/>
      <c r="CJ70" s="196"/>
      <c r="CK70" s="196"/>
      <c r="CL70" s="196"/>
      <c r="CM70" s="196"/>
      <c r="CN70" s="196"/>
      <c r="CO70" s="196"/>
      <c r="CP70" s="196"/>
      <c r="CQ70" s="196"/>
      <c r="CR70" s="196"/>
      <c r="CS70" s="196"/>
      <c r="CT70" s="196"/>
      <c r="CU70" s="196"/>
      <c r="CV70" s="196"/>
      <c r="CW70" s="196"/>
      <c r="CX70" s="196"/>
      <c r="CY70" s="196"/>
      <c r="CZ70" s="196"/>
      <c r="DA70" s="196"/>
      <c r="DB70" s="196"/>
      <c r="DC70" s="196"/>
      <c r="DD70" s="196"/>
      <c r="DE70" s="196"/>
      <c r="DF70" s="196"/>
      <c r="DG70" s="196"/>
      <c r="DH70" s="196"/>
      <c r="DI70" s="196"/>
      <c r="DJ70" s="196"/>
      <c r="DK70" s="196"/>
      <c r="DL70" s="196"/>
      <c r="DM70" s="196"/>
      <c r="DN70" s="196"/>
      <c r="DO70" s="196"/>
      <c r="DP70" s="196"/>
      <c r="DQ70" s="196"/>
      <c r="DR70" s="196"/>
      <c r="DS70" s="196"/>
      <c r="DT70" s="196"/>
      <c r="DU70" s="196"/>
      <c r="DV70" s="196"/>
      <c r="DW70" s="196"/>
      <c r="DX70" s="196"/>
      <c r="DY70" s="196"/>
      <c r="DZ70" s="196"/>
      <c r="EA70" s="196"/>
      <c r="EB70" s="196"/>
      <c r="EC70" s="196"/>
      <c r="ED70" s="196"/>
      <c r="EE70" s="196"/>
      <c r="EF70" s="196"/>
      <c r="EG70" s="196"/>
      <c r="EH70" s="196"/>
      <c r="EI70" s="196"/>
      <c r="EJ70" s="196"/>
      <c r="EK70" s="196"/>
      <c r="EL70" s="196"/>
      <c r="EM70" s="196"/>
      <c r="EN70" s="196"/>
      <c r="EO70" s="196"/>
      <c r="EP70" s="196"/>
      <c r="EQ70" s="196"/>
      <c r="ER70" s="196"/>
      <c r="ES70" s="196"/>
      <c r="ET70" s="196"/>
      <c r="EU70" s="196"/>
      <c r="EV70" s="196"/>
      <c r="EW70" s="196"/>
      <c r="EX70" s="196"/>
      <c r="EY70" s="196"/>
      <c r="EZ70" s="49" t="s">
        <v>33</v>
      </c>
      <c r="FA70" s="49" t="s">
        <v>33</v>
      </c>
      <c r="FB70" s="49" t="s">
        <v>33</v>
      </c>
      <c r="FC70" s="49" t="s">
        <v>33</v>
      </c>
      <c r="FD70" s="49" t="s">
        <v>33</v>
      </c>
      <c r="FE70" s="13" t="s">
        <v>33</v>
      </c>
      <c r="FF70" s="13" t="s">
        <v>33</v>
      </c>
      <c r="FG70" s="13" t="s">
        <v>33</v>
      </c>
      <c r="FH70" s="13" t="s">
        <v>33</v>
      </c>
      <c r="FI70" s="49" t="s">
        <v>33</v>
      </c>
      <c r="FJ70" s="49" t="s">
        <v>33</v>
      </c>
      <c r="FK70" s="49" t="s">
        <v>33</v>
      </c>
      <c r="FL70" s="49" t="s">
        <v>33</v>
      </c>
      <c r="FM70" s="49" t="s">
        <v>33</v>
      </c>
      <c r="FN70" s="49" t="s">
        <v>33</v>
      </c>
      <c r="FO70" s="49" t="s">
        <v>33</v>
      </c>
      <c r="FP70" s="49" t="s">
        <v>33</v>
      </c>
      <c r="FQ70" s="49" t="s">
        <v>33</v>
      </c>
      <c r="FR70" s="49" t="s">
        <v>33</v>
      </c>
      <c r="FS70" s="49" t="s">
        <v>33</v>
      </c>
      <c r="FT70" s="49" t="s">
        <v>33</v>
      </c>
      <c r="FU70" s="49" t="s">
        <v>33</v>
      </c>
      <c r="FV70" s="49" t="s">
        <v>33</v>
      </c>
      <c r="FW70" s="49" t="s">
        <v>33</v>
      </c>
      <c r="FX70" s="49" t="s">
        <v>33</v>
      </c>
      <c r="FY70" s="49" t="s">
        <v>33</v>
      </c>
      <c r="FZ70" s="49" t="s">
        <v>33</v>
      </c>
      <c r="GA70" s="49" t="s">
        <v>33</v>
      </c>
      <c r="GB70" s="49" t="s">
        <v>33</v>
      </c>
      <c r="GC70" s="49" t="s">
        <v>33</v>
      </c>
      <c r="GD70" s="13" t="s">
        <v>33</v>
      </c>
      <c r="GE70" s="13" t="s">
        <v>33</v>
      </c>
      <c r="GF70" s="13" t="s">
        <v>33</v>
      </c>
      <c r="GG70" s="13" t="s">
        <v>33</v>
      </c>
      <c r="GH70" s="13" t="s">
        <v>33</v>
      </c>
      <c r="GI70" s="13" t="s">
        <v>33</v>
      </c>
      <c r="GJ70" s="13" t="s">
        <v>33</v>
      </c>
    </row>
    <row r="71" s="13" customFormat="true" ht="15.75" hidden="false" customHeight="true" outlineLevel="0" collapsed="false">
      <c r="A71" s="13" t="s">
        <v>323</v>
      </c>
      <c r="B71" s="196"/>
      <c r="C71" s="196"/>
      <c r="D71" s="196"/>
      <c r="E71" s="196"/>
      <c r="F71" s="196"/>
      <c r="G71" s="196"/>
      <c r="H71" s="196"/>
      <c r="I71" s="196"/>
      <c r="J71" s="196"/>
      <c r="K71" s="196"/>
      <c r="L71" s="196"/>
      <c r="M71" s="196"/>
      <c r="N71" s="196"/>
      <c r="O71" s="196"/>
      <c r="P71" s="196"/>
      <c r="Q71" s="196"/>
      <c r="R71" s="196"/>
      <c r="S71" s="196"/>
      <c r="T71" s="196"/>
      <c r="U71" s="196"/>
      <c r="V71" s="196"/>
      <c r="W71" s="196"/>
      <c r="X71" s="196"/>
      <c r="Y71" s="196"/>
      <c r="Z71" s="196"/>
      <c r="AA71" s="196"/>
      <c r="AB71" s="196"/>
      <c r="AC71" s="196"/>
      <c r="AD71" s="196"/>
      <c r="AE71" s="196"/>
      <c r="AF71" s="196"/>
      <c r="AG71" s="196"/>
      <c r="AH71" s="196"/>
      <c r="AI71" s="196"/>
      <c r="AJ71" s="196"/>
      <c r="AK71" s="196"/>
      <c r="AL71" s="196"/>
      <c r="AM71" s="196"/>
      <c r="AN71" s="196"/>
      <c r="AO71" s="196"/>
      <c r="AP71" s="196"/>
      <c r="AQ71" s="196"/>
      <c r="AR71" s="196"/>
      <c r="AS71" s="196"/>
      <c r="AT71" s="196"/>
      <c r="AU71" s="196"/>
      <c r="AV71" s="196"/>
      <c r="AW71" s="196"/>
      <c r="AX71" s="196"/>
      <c r="AY71" s="196"/>
      <c r="AZ71" s="196"/>
      <c r="BA71" s="196"/>
      <c r="BB71" s="196"/>
      <c r="BC71" s="196"/>
      <c r="BD71" s="196"/>
      <c r="BE71" s="196"/>
      <c r="BF71" s="196"/>
      <c r="BG71" s="196"/>
      <c r="BH71" s="196"/>
      <c r="BI71" s="196"/>
      <c r="BJ71" s="196"/>
      <c r="BK71" s="196"/>
      <c r="BL71" s="196"/>
      <c r="BM71" s="196"/>
      <c r="BN71" s="196"/>
      <c r="BO71" s="196"/>
      <c r="BP71" s="196"/>
      <c r="BQ71" s="196"/>
      <c r="BR71" s="196"/>
      <c r="BS71" s="196"/>
      <c r="BT71" s="196"/>
      <c r="BU71" s="196"/>
      <c r="BV71" s="196"/>
      <c r="BW71" s="196"/>
      <c r="BX71" s="196"/>
      <c r="BY71" s="196"/>
      <c r="BZ71" s="196"/>
      <c r="CA71" s="196"/>
      <c r="CB71" s="196"/>
      <c r="CC71" s="196"/>
      <c r="CD71" s="196"/>
      <c r="CE71" s="196"/>
      <c r="CF71" s="196"/>
      <c r="CG71" s="196"/>
      <c r="CH71" s="196"/>
      <c r="CI71" s="196"/>
      <c r="CJ71" s="196"/>
      <c r="CK71" s="196"/>
      <c r="CL71" s="196"/>
      <c r="CM71" s="196"/>
      <c r="CN71" s="196"/>
      <c r="CO71" s="196"/>
      <c r="CP71" s="196"/>
      <c r="CQ71" s="196"/>
      <c r="CR71" s="196"/>
      <c r="CS71" s="196"/>
      <c r="CT71" s="196"/>
      <c r="CU71" s="196"/>
      <c r="CV71" s="196"/>
      <c r="CW71" s="196"/>
      <c r="CX71" s="196"/>
      <c r="CY71" s="196"/>
      <c r="CZ71" s="196"/>
      <c r="DA71" s="196"/>
      <c r="DB71" s="196"/>
      <c r="DC71" s="196"/>
      <c r="DD71" s="196"/>
      <c r="DE71" s="196"/>
      <c r="DF71" s="196"/>
      <c r="DG71" s="196"/>
      <c r="DH71" s="196"/>
      <c r="DI71" s="196"/>
      <c r="DJ71" s="196"/>
      <c r="DK71" s="196"/>
      <c r="DL71" s="196"/>
      <c r="DM71" s="196"/>
      <c r="DN71" s="196"/>
      <c r="DO71" s="196"/>
      <c r="DP71" s="196"/>
      <c r="DQ71" s="196"/>
      <c r="DR71" s="196"/>
      <c r="DS71" s="196"/>
      <c r="DT71" s="196"/>
      <c r="DU71" s="196"/>
      <c r="DV71" s="196"/>
      <c r="DW71" s="196"/>
      <c r="DX71" s="196"/>
      <c r="DY71" s="196"/>
      <c r="DZ71" s="196"/>
      <c r="EA71" s="196"/>
      <c r="EB71" s="196"/>
      <c r="EC71" s="196"/>
      <c r="ED71" s="196"/>
      <c r="EE71" s="196"/>
      <c r="EF71" s="196"/>
      <c r="EG71" s="196"/>
      <c r="EH71" s="196"/>
      <c r="EI71" s="196"/>
      <c r="EJ71" s="196"/>
      <c r="EK71" s="196"/>
      <c r="EL71" s="196"/>
      <c r="EM71" s="196"/>
      <c r="EN71" s="196"/>
      <c r="EO71" s="196"/>
      <c r="EP71" s="196"/>
      <c r="EQ71" s="196"/>
      <c r="ER71" s="196"/>
      <c r="ES71" s="196"/>
      <c r="ET71" s="196"/>
      <c r="EU71" s="196"/>
      <c r="EV71" s="196"/>
      <c r="EW71" s="196"/>
      <c r="EX71" s="196"/>
      <c r="EY71" s="196"/>
      <c r="EZ71" s="196"/>
      <c r="FA71" s="196"/>
      <c r="FB71" s="49" t="s">
        <v>33</v>
      </c>
      <c r="FC71" s="49" t="s">
        <v>33</v>
      </c>
      <c r="FD71" s="49" t="s">
        <v>33</v>
      </c>
      <c r="FE71" s="13" t="s">
        <v>33</v>
      </c>
      <c r="FF71" s="13" t="s">
        <v>33</v>
      </c>
      <c r="FG71" s="13" t="s">
        <v>33</v>
      </c>
      <c r="FH71" s="13" t="s">
        <v>33</v>
      </c>
      <c r="FI71" s="49" t="s">
        <v>33</v>
      </c>
      <c r="FJ71" s="49" t="s">
        <v>33</v>
      </c>
      <c r="FK71" s="49" t="s">
        <v>33</v>
      </c>
      <c r="FL71" s="49" t="s">
        <v>33</v>
      </c>
      <c r="FM71" s="49" t="s">
        <v>33</v>
      </c>
      <c r="FN71" s="49" t="s">
        <v>33</v>
      </c>
      <c r="FO71" s="49" t="s">
        <v>33</v>
      </c>
      <c r="FP71" s="49" t="s">
        <v>33</v>
      </c>
      <c r="FQ71" s="49" t="s">
        <v>33</v>
      </c>
      <c r="FR71" s="49" t="s">
        <v>33</v>
      </c>
      <c r="FS71" s="49" t="s">
        <v>33</v>
      </c>
      <c r="FT71" s="49" t="s">
        <v>33</v>
      </c>
      <c r="FU71" s="49" t="s">
        <v>33</v>
      </c>
      <c r="FV71" s="49" t="s">
        <v>33</v>
      </c>
      <c r="FW71" s="49" t="s">
        <v>33</v>
      </c>
      <c r="FX71" s="49" t="s">
        <v>33</v>
      </c>
      <c r="FY71" s="49" t="s">
        <v>33</v>
      </c>
      <c r="FZ71" s="49" t="s">
        <v>33</v>
      </c>
      <c r="GA71" s="49" t="s">
        <v>33</v>
      </c>
      <c r="GB71" s="49" t="s">
        <v>33</v>
      </c>
      <c r="GC71" s="49" t="s">
        <v>33</v>
      </c>
      <c r="GD71" s="13" t="s">
        <v>33</v>
      </c>
      <c r="GE71" s="13" t="s">
        <v>33</v>
      </c>
      <c r="GF71" s="13" t="s">
        <v>33</v>
      </c>
      <c r="GG71" s="13" t="s">
        <v>33</v>
      </c>
      <c r="GH71" s="13" t="s">
        <v>33</v>
      </c>
      <c r="GI71" s="13" t="s">
        <v>33</v>
      </c>
      <c r="GJ71" s="13" t="s">
        <v>33</v>
      </c>
    </row>
    <row r="72" s="13" customFormat="true" ht="15.75" hidden="false" customHeight="true" outlineLevel="0" collapsed="false">
      <c r="A72" s="13" t="s">
        <v>326</v>
      </c>
      <c r="B72" s="196"/>
      <c r="C72" s="196"/>
      <c r="D72" s="196"/>
      <c r="E72" s="196"/>
      <c r="F72" s="196"/>
      <c r="G72" s="196"/>
      <c r="H72" s="196"/>
      <c r="I72" s="196"/>
      <c r="J72" s="196"/>
      <c r="K72" s="196"/>
      <c r="L72" s="196"/>
      <c r="M72" s="196"/>
      <c r="N72" s="196"/>
      <c r="O72" s="196"/>
      <c r="P72" s="196"/>
      <c r="Q72" s="196"/>
      <c r="R72" s="196"/>
      <c r="S72" s="196"/>
      <c r="T72" s="196"/>
      <c r="U72" s="196"/>
      <c r="V72" s="196"/>
      <c r="W72" s="196"/>
      <c r="X72" s="196"/>
      <c r="Y72" s="196"/>
      <c r="Z72" s="196"/>
      <c r="AA72" s="196"/>
      <c r="AB72" s="196"/>
      <c r="AC72" s="196"/>
      <c r="AD72" s="196"/>
      <c r="AE72" s="196"/>
      <c r="AF72" s="196"/>
      <c r="AG72" s="196"/>
      <c r="AH72" s="196"/>
      <c r="AI72" s="196"/>
      <c r="AJ72" s="196"/>
      <c r="AK72" s="196"/>
      <c r="AL72" s="196"/>
      <c r="AM72" s="196"/>
      <c r="AN72" s="196"/>
      <c r="AO72" s="196"/>
      <c r="AP72" s="196"/>
      <c r="AQ72" s="196"/>
      <c r="AR72" s="196"/>
      <c r="AS72" s="196"/>
      <c r="AT72" s="196"/>
      <c r="AU72" s="196"/>
      <c r="AV72" s="196"/>
      <c r="AW72" s="196"/>
      <c r="AX72" s="196"/>
      <c r="AY72" s="196"/>
      <c r="AZ72" s="196"/>
      <c r="BA72" s="196"/>
      <c r="BB72" s="196"/>
      <c r="BC72" s="196"/>
      <c r="BD72" s="196"/>
      <c r="BE72" s="196"/>
      <c r="BF72" s="196"/>
      <c r="BG72" s="196"/>
      <c r="BH72" s="196"/>
      <c r="BI72" s="196"/>
      <c r="BJ72" s="196"/>
      <c r="BK72" s="196"/>
      <c r="BL72" s="196"/>
      <c r="BM72" s="196"/>
      <c r="BN72" s="196"/>
      <c r="BO72" s="196"/>
      <c r="BP72" s="196"/>
      <c r="BQ72" s="196"/>
      <c r="BR72" s="196"/>
      <c r="BS72" s="196"/>
      <c r="BT72" s="196"/>
      <c r="BU72" s="196"/>
      <c r="BV72" s="196"/>
      <c r="BW72" s="196"/>
      <c r="BX72" s="196"/>
      <c r="BY72" s="196"/>
      <c r="BZ72" s="196"/>
      <c r="CA72" s="196"/>
      <c r="CB72" s="196"/>
      <c r="CC72" s="196"/>
      <c r="CD72" s="196"/>
      <c r="CE72" s="196"/>
      <c r="CF72" s="196"/>
      <c r="CG72" s="196"/>
      <c r="CH72" s="196"/>
      <c r="CI72" s="196"/>
      <c r="CJ72" s="196"/>
      <c r="CK72" s="196"/>
      <c r="CL72" s="196"/>
      <c r="CM72" s="196"/>
      <c r="CN72" s="196"/>
      <c r="CO72" s="196"/>
      <c r="CP72" s="196"/>
      <c r="CQ72" s="196"/>
      <c r="CR72" s="196"/>
      <c r="CS72" s="196"/>
      <c r="CT72" s="196"/>
      <c r="CU72" s="196"/>
      <c r="CV72" s="196"/>
      <c r="CW72" s="196"/>
      <c r="CX72" s="196"/>
      <c r="CY72" s="196"/>
      <c r="CZ72" s="196"/>
      <c r="DA72" s="196"/>
      <c r="DB72" s="196"/>
      <c r="DC72" s="196"/>
      <c r="DD72" s="196"/>
      <c r="DE72" s="196"/>
      <c r="DF72" s="196"/>
      <c r="DG72" s="196"/>
      <c r="DH72" s="196"/>
      <c r="DI72" s="196"/>
      <c r="DJ72" s="196"/>
      <c r="DK72" s="196"/>
      <c r="DL72" s="196"/>
      <c r="DM72" s="196"/>
      <c r="DN72" s="196"/>
      <c r="DO72" s="196"/>
      <c r="DP72" s="196"/>
      <c r="DQ72" s="196"/>
      <c r="DR72" s="196"/>
      <c r="DS72" s="196"/>
      <c r="DT72" s="196"/>
      <c r="DU72" s="196"/>
      <c r="DV72" s="196"/>
      <c r="DW72" s="196"/>
      <c r="DX72" s="196"/>
      <c r="DY72" s="196"/>
      <c r="DZ72" s="196"/>
      <c r="EA72" s="196"/>
      <c r="EB72" s="196"/>
      <c r="EC72" s="196"/>
      <c r="ED72" s="196"/>
      <c r="EE72" s="196"/>
      <c r="EF72" s="196"/>
      <c r="EG72" s="196"/>
      <c r="EH72" s="196"/>
      <c r="EI72" s="196"/>
      <c r="EJ72" s="196"/>
      <c r="EK72" s="196"/>
      <c r="EL72" s="196"/>
      <c r="EM72" s="196"/>
      <c r="EN72" s="196"/>
      <c r="EO72" s="196"/>
      <c r="EP72" s="196"/>
      <c r="EQ72" s="196"/>
      <c r="ER72" s="196"/>
      <c r="ES72" s="196"/>
      <c r="ET72" s="196"/>
      <c r="EU72" s="196"/>
      <c r="EV72" s="196"/>
      <c r="EW72" s="196"/>
      <c r="EX72" s="196"/>
      <c r="EY72" s="196"/>
      <c r="EZ72" s="196"/>
      <c r="FA72" s="196"/>
      <c r="FB72" s="196"/>
      <c r="FC72" s="196"/>
      <c r="FD72" s="49" t="s">
        <v>33</v>
      </c>
      <c r="FE72" s="49" t="s">
        <v>33</v>
      </c>
      <c r="FF72" s="13" t="s">
        <v>33</v>
      </c>
      <c r="FG72" s="13" t="s">
        <v>33</v>
      </c>
      <c r="FH72" s="49" t="s">
        <v>37</v>
      </c>
      <c r="FI72" s="49" t="s">
        <v>33</v>
      </c>
      <c r="FJ72" s="49" t="s">
        <v>33</v>
      </c>
      <c r="FK72" s="49" t="s">
        <v>33</v>
      </c>
      <c r="FL72" s="49" t="s">
        <v>33</v>
      </c>
      <c r="FM72" s="49" t="s">
        <v>33</v>
      </c>
      <c r="FN72" s="49" t="s">
        <v>33</v>
      </c>
      <c r="FO72" s="49" t="s">
        <v>33</v>
      </c>
      <c r="FP72" s="49" t="s">
        <v>33</v>
      </c>
      <c r="FQ72" s="49" t="s">
        <v>33</v>
      </c>
      <c r="FR72" s="49" t="s">
        <v>33</v>
      </c>
      <c r="FS72" s="49" t="s">
        <v>33</v>
      </c>
      <c r="FT72" s="49" t="s">
        <v>33</v>
      </c>
      <c r="FU72" s="49" t="s">
        <v>33</v>
      </c>
      <c r="FV72" s="49" t="s">
        <v>33</v>
      </c>
      <c r="FW72" s="49" t="s">
        <v>33</v>
      </c>
      <c r="FX72" s="49" t="s">
        <v>33</v>
      </c>
      <c r="FY72" s="49" t="s">
        <v>33</v>
      </c>
      <c r="FZ72" s="49" t="s">
        <v>33</v>
      </c>
      <c r="GA72" s="49" t="s">
        <v>33</v>
      </c>
      <c r="GB72" s="49" t="s">
        <v>33</v>
      </c>
      <c r="GC72" s="13" t="s">
        <v>41</v>
      </c>
      <c r="GD72" s="59" t="s">
        <v>841</v>
      </c>
      <c r="GE72" s="59" t="s">
        <v>41</v>
      </c>
      <c r="GF72" s="13" t="s">
        <v>41</v>
      </c>
      <c r="GG72" s="13" t="s">
        <v>41</v>
      </c>
      <c r="GH72" s="13" t="s">
        <v>41</v>
      </c>
      <c r="GI72" s="59" t="s">
        <v>841</v>
      </c>
      <c r="GJ72" s="59" t="s">
        <v>841</v>
      </c>
    </row>
    <row r="73" s="13" customFormat="true" ht="15.75" hidden="false" customHeight="true" outlineLevel="0" collapsed="false">
      <c r="A73" s="13" t="s">
        <v>329</v>
      </c>
      <c r="B73" s="196"/>
      <c r="C73" s="196"/>
      <c r="D73" s="196"/>
      <c r="E73" s="196"/>
      <c r="F73" s="196"/>
      <c r="G73" s="196"/>
      <c r="H73" s="196"/>
      <c r="I73" s="196"/>
      <c r="J73" s="196"/>
      <c r="K73" s="196"/>
      <c r="L73" s="196"/>
      <c r="M73" s="196"/>
      <c r="N73" s="196"/>
      <c r="O73" s="196"/>
      <c r="P73" s="196"/>
      <c r="Q73" s="196"/>
      <c r="R73" s="196"/>
      <c r="S73" s="196"/>
      <c r="T73" s="196"/>
      <c r="U73" s="196"/>
      <c r="V73" s="196"/>
      <c r="W73" s="196"/>
      <c r="X73" s="196"/>
      <c r="Y73" s="196"/>
      <c r="Z73" s="196"/>
      <c r="AA73" s="196"/>
      <c r="AB73" s="196"/>
      <c r="AC73" s="196"/>
      <c r="AD73" s="196"/>
      <c r="AE73" s="196"/>
      <c r="AF73" s="196"/>
      <c r="AG73" s="196"/>
      <c r="AH73" s="196"/>
      <c r="AI73" s="196"/>
      <c r="AJ73" s="196"/>
      <c r="AK73" s="196"/>
      <c r="AL73" s="196"/>
      <c r="AM73" s="196"/>
      <c r="AN73" s="196"/>
      <c r="AO73" s="196"/>
      <c r="AP73" s="196"/>
      <c r="AQ73" s="196"/>
      <c r="AR73" s="196"/>
      <c r="AS73" s="196"/>
      <c r="AT73" s="196"/>
      <c r="AU73" s="196"/>
      <c r="AV73" s="196"/>
      <c r="AW73" s="196"/>
      <c r="AX73" s="196"/>
      <c r="AY73" s="196"/>
      <c r="AZ73" s="196"/>
      <c r="BA73" s="196"/>
      <c r="BB73" s="196"/>
      <c r="BC73" s="196"/>
      <c r="BD73" s="196"/>
      <c r="BE73" s="196"/>
      <c r="BF73" s="196"/>
      <c r="BG73" s="196"/>
      <c r="BH73" s="196"/>
      <c r="BI73" s="196"/>
      <c r="BJ73" s="196"/>
      <c r="BK73" s="196"/>
      <c r="BL73" s="196"/>
      <c r="BM73" s="196"/>
      <c r="BN73" s="196"/>
      <c r="BO73" s="196"/>
      <c r="BP73" s="196"/>
      <c r="BQ73" s="196"/>
      <c r="BR73" s="196"/>
      <c r="BS73" s="196"/>
      <c r="BT73" s="196"/>
      <c r="BU73" s="196"/>
      <c r="BV73" s="196"/>
      <c r="BW73" s="196"/>
      <c r="BX73" s="196"/>
      <c r="BY73" s="196"/>
      <c r="BZ73" s="196"/>
      <c r="CA73" s="196"/>
      <c r="CB73" s="196"/>
      <c r="CC73" s="196"/>
      <c r="CD73" s="196"/>
      <c r="CE73" s="196"/>
      <c r="CF73" s="196"/>
      <c r="CG73" s="196"/>
      <c r="CH73" s="196"/>
      <c r="CI73" s="196"/>
      <c r="CJ73" s="196"/>
      <c r="CK73" s="196"/>
      <c r="CL73" s="196"/>
      <c r="CM73" s="196"/>
      <c r="CN73" s="196"/>
      <c r="CO73" s="196"/>
      <c r="CP73" s="196"/>
      <c r="CQ73" s="196"/>
      <c r="CR73" s="196"/>
      <c r="CS73" s="196"/>
      <c r="CT73" s="196"/>
      <c r="CU73" s="196"/>
      <c r="CV73" s="196"/>
      <c r="CW73" s="196"/>
      <c r="CX73" s="196"/>
      <c r="CY73" s="196"/>
      <c r="CZ73" s="196"/>
      <c r="DA73" s="196"/>
      <c r="DB73" s="196"/>
      <c r="DC73" s="196"/>
      <c r="DD73" s="196"/>
      <c r="DE73" s="196"/>
      <c r="DF73" s="196"/>
      <c r="DG73" s="196"/>
      <c r="DH73" s="196"/>
      <c r="DI73" s="196"/>
      <c r="DJ73" s="196"/>
      <c r="DK73" s="196"/>
      <c r="DL73" s="196"/>
      <c r="DM73" s="196"/>
      <c r="DN73" s="196"/>
      <c r="DO73" s="196"/>
      <c r="DP73" s="196"/>
      <c r="DQ73" s="196"/>
      <c r="DR73" s="196"/>
      <c r="DS73" s="196"/>
      <c r="DT73" s="196"/>
      <c r="DU73" s="196"/>
      <c r="DV73" s="196"/>
      <c r="DW73" s="196"/>
      <c r="DX73" s="196"/>
      <c r="DY73" s="196"/>
      <c r="DZ73" s="196"/>
      <c r="EA73" s="196"/>
      <c r="EB73" s="196"/>
      <c r="EC73" s="196"/>
      <c r="ED73" s="196"/>
      <c r="EE73" s="196"/>
      <c r="EF73" s="196"/>
      <c r="EG73" s="196"/>
      <c r="EH73" s="196"/>
      <c r="EI73" s="196"/>
      <c r="EJ73" s="196"/>
      <c r="EK73" s="196"/>
      <c r="EL73" s="196"/>
      <c r="EM73" s="196"/>
      <c r="EN73" s="196"/>
      <c r="EO73" s="196"/>
      <c r="EP73" s="196"/>
      <c r="EQ73" s="196"/>
      <c r="ER73" s="196"/>
      <c r="ES73" s="196"/>
      <c r="ET73" s="196"/>
      <c r="EU73" s="196"/>
      <c r="EV73" s="196"/>
      <c r="EW73" s="196"/>
      <c r="EX73" s="196"/>
      <c r="EY73" s="196"/>
      <c r="EZ73" s="196"/>
      <c r="FA73" s="196"/>
      <c r="FB73" s="196"/>
      <c r="FC73" s="196"/>
      <c r="FD73" s="196"/>
      <c r="FE73" s="196"/>
      <c r="FF73" s="196"/>
      <c r="FG73" s="196"/>
      <c r="FH73" s="49" t="s">
        <v>33</v>
      </c>
      <c r="FI73" s="49" t="s">
        <v>33</v>
      </c>
      <c r="FJ73" s="49" t="s">
        <v>33</v>
      </c>
      <c r="FK73" s="49" t="s">
        <v>33</v>
      </c>
      <c r="FL73" s="49" t="s">
        <v>33</v>
      </c>
      <c r="FM73" s="49" t="s">
        <v>33</v>
      </c>
      <c r="FN73" s="49" t="s">
        <v>33</v>
      </c>
      <c r="FO73" s="49" t="s">
        <v>33</v>
      </c>
      <c r="FP73" s="49" t="s">
        <v>33</v>
      </c>
      <c r="FQ73" s="49" t="s">
        <v>33</v>
      </c>
      <c r="FR73" s="49" t="s">
        <v>33</v>
      </c>
      <c r="FS73" s="49" t="s">
        <v>33</v>
      </c>
      <c r="FT73" s="49" t="s">
        <v>33</v>
      </c>
      <c r="FU73" s="49" t="s">
        <v>33</v>
      </c>
      <c r="FV73" s="49" t="s">
        <v>33</v>
      </c>
      <c r="FW73" s="49" t="s">
        <v>33</v>
      </c>
      <c r="FX73" s="49" t="s">
        <v>33</v>
      </c>
      <c r="FY73" s="49" t="s">
        <v>33</v>
      </c>
      <c r="FZ73" s="49" t="s">
        <v>33</v>
      </c>
      <c r="GA73" s="49" t="s">
        <v>33</v>
      </c>
      <c r="GB73" s="49" t="s">
        <v>33</v>
      </c>
      <c r="GC73" s="49" t="s">
        <v>33</v>
      </c>
      <c r="GD73" s="13" t="s">
        <v>33</v>
      </c>
      <c r="GE73" s="13" t="s">
        <v>33</v>
      </c>
      <c r="GF73" s="13" t="s">
        <v>33</v>
      </c>
      <c r="GG73" s="13" t="s">
        <v>33</v>
      </c>
      <c r="GH73" s="13" t="s">
        <v>33</v>
      </c>
      <c r="GI73" s="13" t="s">
        <v>33</v>
      </c>
      <c r="GJ73" s="13" t="s">
        <v>33</v>
      </c>
    </row>
    <row r="74" s="13" customFormat="true" ht="15.75" hidden="false" customHeight="true" outlineLevel="0" collapsed="false">
      <c r="A74" s="13" t="s">
        <v>332</v>
      </c>
      <c r="B74" s="196"/>
      <c r="C74" s="196"/>
      <c r="D74" s="196"/>
      <c r="E74" s="196"/>
      <c r="F74" s="196"/>
      <c r="G74" s="196"/>
      <c r="H74" s="196"/>
      <c r="I74" s="196"/>
      <c r="J74" s="196"/>
      <c r="K74" s="196"/>
      <c r="L74" s="196"/>
      <c r="M74" s="196"/>
      <c r="N74" s="196"/>
      <c r="O74" s="196"/>
      <c r="P74" s="196"/>
      <c r="Q74" s="196"/>
      <c r="R74" s="196"/>
      <c r="S74" s="196"/>
      <c r="T74" s="196"/>
      <c r="U74" s="196"/>
      <c r="V74" s="196"/>
      <c r="W74" s="196"/>
      <c r="X74" s="196"/>
      <c r="Y74" s="196"/>
      <c r="Z74" s="196"/>
      <c r="AA74" s="196"/>
      <c r="AB74" s="196"/>
      <c r="AC74" s="196"/>
      <c r="AD74" s="196"/>
      <c r="AE74" s="196"/>
      <c r="AF74" s="196"/>
      <c r="AG74" s="196"/>
      <c r="AH74" s="196"/>
      <c r="AI74" s="196"/>
      <c r="AJ74" s="196"/>
      <c r="AK74" s="196"/>
      <c r="AL74" s="196"/>
      <c r="AM74" s="196"/>
      <c r="AN74" s="196"/>
      <c r="AO74" s="196"/>
      <c r="AP74" s="196"/>
      <c r="AQ74" s="196"/>
      <c r="AR74" s="196"/>
      <c r="AS74" s="196"/>
      <c r="AT74" s="196"/>
      <c r="AU74" s="196"/>
      <c r="AV74" s="196"/>
      <c r="AW74" s="196"/>
      <c r="AX74" s="196"/>
      <c r="AY74" s="196"/>
      <c r="AZ74" s="196"/>
      <c r="BA74" s="196"/>
      <c r="BB74" s="196"/>
      <c r="BC74" s="196"/>
      <c r="BD74" s="196"/>
      <c r="BE74" s="196"/>
      <c r="BF74" s="196"/>
      <c r="BG74" s="196"/>
      <c r="BH74" s="196"/>
      <c r="BI74" s="196"/>
      <c r="BJ74" s="196"/>
      <c r="BK74" s="196"/>
      <c r="BL74" s="196"/>
      <c r="BM74" s="196"/>
      <c r="BN74" s="196"/>
      <c r="BO74" s="196"/>
      <c r="BP74" s="196"/>
      <c r="BQ74" s="196"/>
      <c r="BR74" s="196"/>
      <c r="BS74" s="196"/>
      <c r="BT74" s="196"/>
      <c r="BU74" s="196"/>
      <c r="BV74" s="196"/>
      <c r="BW74" s="196"/>
      <c r="BX74" s="196"/>
      <c r="BY74" s="196"/>
      <c r="BZ74" s="196"/>
      <c r="CA74" s="196"/>
      <c r="CB74" s="196"/>
      <c r="CC74" s="196"/>
      <c r="CD74" s="196"/>
      <c r="CE74" s="196"/>
      <c r="CF74" s="196"/>
      <c r="CG74" s="196"/>
      <c r="CH74" s="196"/>
      <c r="CI74" s="196"/>
      <c r="CJ74" s="196"/>
      <c r="CK74" s="196"/>
      <c r="CL74" s="196"/>
      <c r="CM74" s="196"/>
      <c r="CN74" s="196"/>
      <c r="CO74" s="196"/>
      <c r="CP74" s="196"/>
      <c r="CQ74" s="196"/>
      <c r="CR74" s="196"/>
      <c r="CS74" s="196"/>
      <c r="CT74" s="196"/>
      <c r="CU74" s="196"/>
      <c r="CV74" s="196"/>
      <c r="CW74" s="196"/>
      <c r="CX74" s="196"/>
      <c r="CY74" s="196"/>
      <c r="CZ74" s="196"/>
      <c r="DA74" s="196"/>
      <c r="DB74" s="196"/>
      <c r="DC74" s="196"/>
      <c r="DD74" s="196"/>
      <c r="DE74" s="196"/>
      <c r="DF74" s="196"/>
      <c r="DG74" s="196"/>
      <c r="DH74" s="196"/>
      <c r="DI74" s="196"/>
      <c r="DJ74" s="196"/>
      <c r="DK74" s="196"/>
      <c r="DL74" s="196"/>
      <c r="DM74" s="196"/>
      <c r="DN74" s="196"/>
      <c r="DO74" s="196"/>
      <c r="DP74" s="196"/>
      <c r="DQ74" s="196"/>
      <c r="DR74" s="196"/>
      <c r="DS74" s="196"/>
      <c r="DT74" s="196"/>
      <c r="DU74" s="196"/>
      <c r="DV74" s="196"/>
      <c r="DW74" s="196"/>
      <c r="DX74" s="196"/>
      <c r="DY74" s="196"/>
      <c r="DZ74" s="196"/>
      <c r="EA74" s="196"/>
      <c r="EB74" s="196"/>
      <c r="EC74" s="196"/>
      <c r="ED74" s="196"/>
      <c r="EE74" s="196"/>
      <c r="EF74" s="196"/>
      <c r="EG74" s="196"/>
      <c r="EH74" s="196"/>
      <c r="EI74" s="196"/>
      <c r="EJ74" s="196"/>
      <c r="EK74" s="196"/>
      <c r="EL74" s="196"/>
      <c r="EM74" s="196"/>
      <c r="EN74" s="196"/>
      <c r="EO74" s="196"/>
      <c r="EP74" s="196"/>
      <c r="EQ74" s="196"/>
      <c r="ER74" s="196"/>
      <c r="ES74" s="196"/>
      <c r="ET74" s="196"/>
      <c r="EU74" s="196"/>
      <c r="EV74" s="196"/>
      <c r="EW74" s="196"/>
      <c r="EX74" s="196"/>
      <c r="EY74" s="196"/>
      <c r="EZ74" s="196"/>
      <c r="FA74" s="196"/>
      <c r="FB74" s="196"/>
      <c r="FC74" s="196"/>
      <c r="FD74" s="196"/>
      <c r="FE74" s="196"/>
      <c r="FF74" s="196"/>
      <c r="FG74" s="196"/>
      <c r="FH74" s="196"/>
      <c r="FI74" s="196"/>
      <c r="FJ74" s="196"/>
      <c r="FK74" s="49" t="s">
        <v>33</v>
      </c>
      <c r="FL74" s="49" t="s">
        <v>33</v>
      </c>
      <c r="FM74" s="49" t="s">
        <v>33</v>
      </c>
      <c r="FN74" s="49" t="s">
        <v>33</v>
      </c>
      <c r="FO74" s="49" t="s">
        <v>33</v>
      </c>
      <c r="FP74" s="49" t="s">
        <v>33</v>
      </c>
      <c r="FQ74" s="49" t="s">
        <v>33</v>
      </c>
      <c r="FR74" s="49" t="s">
        <v>33</v>
      </c>
      <c r="FS74" s="49" t="s">
        <v>33</v>
      </c>
      <c r="FT74" s="49" t="s">
        <v>33</v>
      </c>
      <c r="FU74" s="49" t="s">
        <v>33</v>
      </c>
      <c r="FV74" s="49" t="s">
        <v>33</v>
      </c>
      <c r="FW74" s="49" t="s">
        <v>33</v>
      </c>
      <c r="FX74" s="49" t="s">
        <v>33</v>
      </c>
      <c r="FY74" s="49" t="s">
        <v>33</v>
      </c>
      <c r="FZ74" s="49" t="s">
        <v>33</v>
      </c>
      <c r="GA74" s="49" t="s">
        <v>33</v>
      </c>
      <c r="GB74" s="49" t="s">
        <v>33</v>
      </c>
      <c r="GC74" s="49" t="s">
        <v>33</v>
      </c>
      <c r="GD74" s="13" t="s">
        <v>33</v>
      </c>
      <c r="GE74" s="13" t="s">
        <v>33</v>
      </c>
      <c r="GF74" s="13" t="s">
        <v>33</v>
      </c>
      <c r="GG74" s="13" t="s">
        <v>33</v>
      </c>
      <c r="GH74" s="13" t="s">
        <v>33</v>
      </c>
      <c r="GI74" s="13" t="s">
        <v>33</v>
      </c>
      <c r="GJ74" s="13" t="s">
        <v>33</v>
      </c>
    </row>
    <row r="75" s="13" customFormat="true" ht="15.75" hidden="false" customHeight="true" outlineLevel="0" collapsed="false">
      <c r="A75" s="13" t="s">
        <v>335</v>
      </c>
      <c r="B75" s="196"/>
      <c r="C75" s="196"/>
      <c r="D75" s="196"/>
      <c r="E75" s="196"/>
      <c r="F75" s="196"/>
      <c r="G75" s="196"/>
      <c r="H75" s="196"/>
      <c r="I75" s="196"/>
      <c r="J75" s="196"/>
      <c r="K75" s="196"/>
      <c r="L75" s="196"/>
      <c r="M75" s="196"/>
      <c r="N75" s="196"/>
      <c r="O75" s="196"/>
      <c r="P75" s="196"/>
      <c r="Q75" s="196"/>
      <c r="R75" s="196"/>
      <c r="S75" s="196"/>
      <c r="T75" s="196"/>
      <c r="U75" s="196"/>
      <c r="V75" s="196"/>
      <c r="W75" s="196"/>
      <c r="X75" s="196"/>
      <c r="Y75" s="196"/>
      <c r="Z75" s="196"/>
      <c r="AA75" s="196"/>
      <c r="AB75" s="196"/>
      <c r="AC75" s="196"/>
      <c r="AD75" s="196"/>
      <c r="AE75" s="196"/>
      <c r="AF75" s="196"/>
      <c r="AG75" s="196"/>
      <c r="AH75" s="196"/>
      <c r="AI75" s="196"/>
      <c r="AJ75" s="196"/>
      <c r="AK75" s="196"/>
      <c r="AL75" s="196"/>
      <c r="AM75" s="196"/>
      <c r="AN75" s="196"/>
      <c r="AO75" s="196"/>
      <c r="AP75" s="196"/>
      <c r="AQ75" s="196"/>
      <c r="AR75" s="196"/>
      <c r="AS75" s="196"/>
      <c r="AT75" s="196"/>
      <c r="AU75" s="196"/>
      <c r="AV75" s="196"/>
      <c r="AW75" s="196"/>
      <c r="AX75" s="196"/>
      <c r="AY75" s="196"/>
      <c r="AZ75" s="196"/>
      <c r="BA75" s="196"/>
      <c r="BB75" s="196"/>
      <c r="BC75" s="196"/>
      <c r="BD75" s="196"/>
      <c r="BE75" s="196"/>
      <c r="BF75" s="196"/>
      <c r="BG75" s="196"/>
      <c r="BH75" s="196"/>
      <c r="BI75" s="196"/>
      <c r="BJ75" s="196"/>
      <c r="BK75" s="196"/>
      <c r="BL75" s="196"/>
      <c r="BM75" s="196"/>
      <c r="BN75" s="196"/>
      <c r="BO75" s="196"/>
      <c r="BP75" s="196"/>
      <c r="BQ75" s="196"/>
      <c r="BR75" s="196"/>
      <c r="BS75" s="196"/>
      <c r="BT75" s="196"/>
      <c r="BU75" s="196"/>
      <c r="BV75" s="196"/>
      <c r="BW75" s="196"/>
      <c r="BX75" s="196"/>
      <c r="BY75" s="196"/>
      <c r="BZ75" s="196"/>
      <c r="CA75" s="196"/>
      <c r="CB75" s="196"/>
      <c r="CC75" s="196"/>
      <c r="CD75" s="196"/>
      <c r="CE75" s="196"/>
      <c r="CF75" s="196"/>
      <c r="CG75" s="196"/>
      <c r="CH75" s="196"/>
      <c r="CI75" s="196"/>
      <c r="CJ75" s="196"/>
      <c r="CK75" s="196"/>
      <c r="CL75" s="196"/>
      <c r="CM75" s="196"/>
      <c r="CN75" s="196"/>
      <c r="CO75" s="196"/>
      <c r="CP75" s="196"/>
      <c r="CQ75" s="196"/>
      <c r="CR75" s="196"/>
      <c r="CS75" s="196"/>
      <c r="CT75" s="196"/>
      <c r="CU75" s="196"/>
      <c r="CV75" s="196"/>
      <c r="CW75" s="196"/>
      <c r="CX75" s="196"/>
      <c r="CY75" s="196"/>
      <c r="CZ75" s="196"/>
      <c r="DA75" s="196"/>
      <c r="DB75" s="196"/>
      <c r="DC75" s="196"/>
      <c r="DD75" s="196"/>
      <c r="DE75" s="196"/>
      <c r="DF75" s="196"/>
      <c r="DG75" s="196"/>
      <c r="DH75" s="196"/>
      <c r="DI75" s="196"/>
      <c r="DJ75" s="196"/>
      <c r="DK75" s="196"/>
      <c r="DL75" s="196"/>
      <c r="DM75" s="196"/>
      <c r="DN75" s="196"/>
      <c r="DO75" s="196"/>
      <c r="DP75" s="196"/>
      <c r="DQ75" s="196"/>
      <c r="DR75" s="196"/>
      <c r="DS75" s="196"/>
      <c r="DT75" s="196"/>
      <c r="DU75" s="196"/>
      <c r="DV75" s="196"/>
      <c r="DW75" s="196"/>
      <c r="DX75" s="196"/>
      <c r="DY75" s="196"/>
      <c r="DZ75" s="196"/>
      <c r="EA75" s="196"/>
      <c r="EB75" s="196"/>
      <c r="EC75" s="196"/>
      <c r="ED75" s="196"/>
      <c r="EE75" s="196"/>
      <c r="EF75" s="196"/>
      <c r="EG75" s="196"/>
      <c r="EH75" s="196"/>
      <c r="EI75" s="196"/>
      <c r="EJ75" s="196"/>
      <c r="EK75" s="196"/>
      <c r="EL75" s="196"/>
      <c r="EM75" s="196"/>
      <c r="EN75" s="196"/>
      <c r="EO75" s="196"/>
      <c r="EP75" s="196"/>
      <c r="EQ75" s="196"/>
      <c r="ER75" s="196"/>
      <c r="ES75" s="196"/>
      <c r="ET75" s="196"/>
      <c r="EU75" s="196"/>
      <c r="EV75" s="196"/>
      <c r="EW75" s="196"/>
      <c r="EX75" s="196"/>
      <c r="EY75" s="196"/>
      <c r="EZ75" s="196"/>
      <c r="FA75" s="196"/>
      <c r="FB75" s="196"/>
      <c r="FC75" s="196"/>
      <c r="FD75" s="196"/>
      <c r="FE75" s="196"/>
      <c r="FF75" s="196"/>
      <c r="FG75" s="196"/>
      <c r="FH75" s="196"/>
      <c r="FI75" s="196"/>
      <c r="FJ75" s="196"/>
      <c r="FK75" s="196"/>
      <c r="FL75" s="196"/>
      <c r="FM75" s="196"/>
      <c r="FN75" s="196"/>
      <c r="FO75" s="196"/>
      <c r="FP75" s="196"/>
      <c r="FQ75" s="196"/>
      <c r="FR75" s="196"/>
      <c r="FS75" s="49" t="s">
        <v>33</v>
      </c>
      <c r="FT75" s="49" t="s">
        <v>33</v>
      </c>
      <c r="FU75" s="49" t="s">
        <v>33</v>
      </c>
      <c r="FV75" s="49" t="s">
        <v>33</v>
      </c>
      <c r="FW75" s="49" t="s">
        <v>33</v>
      </c>
      <c r="FX75" s="49" t="s">
        <v>33</v>
      </c>
      <c r="FY75" s="49" t="s">
        <v>33</v>
      </c>
      <c r="FZ75" s="49" t="s">
        <v>33</v>
      </c>
      <c r="GA75" s="49" t="s">
        <v>33</v>
      </c>
      <c r="GB75" s="49" t="s">
        <v>41</v>
      </c>
      <c r="GC75" s="13" t="s">
        <v>33</v>
      </c>
      <c r="GD75" s="13" t="s">
        <v>33</v>
      </c>
      <c r="GE75" s="13" t="s">
        <v>33</v>
      </c>
      <c r="GF75" s="13" t="s">
        <v>33</v>
      </c>
      <c r="GG75" s="13" t="s">
        <v>33</v>
      </c>
      <c r="GH75" s="13" t="s">
        <v>33</v>
      </c>
      <c r="GI75" s="13" t="s">
        <v>33</v>
      </c>
      <c r="GJ75" s="13" t="s">
        <v>33</v>
      </c>
    </row>
    <row r="76" s="13" customFormat="true" ht="15.75" hidden="false" customHeight="true" outlineLevel="0" collapsed="false">
      <c r="A76" s="13" t="s">
        <v>338</v>
      </c>
      <c r="B76" s="196"/>
      <c r="C76" s="196"/>
      <c r="D76" s="196"/>
      <c r="E76" s="196"/>
      <c r="F76" s="196"/>
      <c r="G76" s="196"/>
      <c r="H76" s="196"/>
      <c r="I76" s="196"/>
      <c r="J76" s="196"/>
      <c r="K76" s="196"/>
      <c r="L76" s="196"/>
      <c r="M76" s="196"/>
      <c r="N76" s="196"/>
      <c r="O76" s="196"/>
      <c r="P76" s="196"/>
      <c r="Q76" s="196"/>
      <c r="R76" s="196"/>
      <c r="S76" s="196"/>
      <c r="T76" s="196"/>
      <c r="U76" s="196"/>
      <c r="V76" s="196"/>
      <c r="W76" s="196"/>
      <c r="X76" s="196"/>
      <c r="Y76" s="196"/>
      <c r="Z76" s="196"/>
      <c r="AA76" s="196"/>
      <c r="AB76" s="196"/>
      <c r="AC76" s="196"/>
      <c r="AD76" s="196"/>
      <c r="AE76" s="196"/>
      <c r="AF76" s="196"/>
      <c r="AG76" s="196"/>
      <c r="AH76" s="196"/>
      <c r="AI76" s="196"/>
      <c r="AJ76" s="196"/>
      <c r="AK76" s="196"/>
      <c r="AL76" s="196"/>
      <c r="AM76" s="196"/>
      <c r="AN76" s="196"/>
      <c r="AO76" s="196"/>
      <c r="AP76" s="196"/>
      <c r="AQ76" s="196"/>
      <c r="AR76" s="196"/>
      <c r="AS76" s="196"/>
      <c r="AT76" s="196"/>
      <c r="AU76" s="196"/>
      <c r="AV76" s="196"/>
      <c r="AW76" s="196"/>
      <c r="AX76" s="196"/>
      <c r="AY76" s="196"/>
      <c r="AZ76" s="196"/>
      <c r="BA76" s="196"/>
      <c r="BB76" s="196"/>
      <c r="BC76" s="196"/>
      <c r="BD76" s="196"/>
      <c r="BE76" s="196"/>
      <c r="BF76" s="196"/>
      <c r="BG76" s="196"/>
      <c r="BH76" s="196"/>
      <c r="BI76" s="196"/>
      <c r="BJ76" s="196"/>
      <c r="BK76" s="196"/>
      <c r="BL76" s="196"/>
      <c r="BM76" s="196"/>
      <c r="BN76" s="196"/>
      <c r="BO76" s="196"/>
      <c r="BP76" s="196"/>
      <c r="BQ76" s="196"/>
      <c r="BR76" s="196"/>
      <c r="BS76" s="196"/>
      <c r="BT76" s="196"/>
      <c r="BU76" s="196"/>
      <c r="BV76" s="196"/>
      <c r="BW76" s="196"/>
      <c r="BX76" s="196"/>
      <c r="BY76" s="196"/>
      <c r="BZ76" s="196"/>
      <c r="CA76" s="196"/>
      <c r="CB76" s="196"/>
      <c r="CC76" s="196"/>
      <c r="CD76" s="196"/>
      <c r="CE76" s="196"/>
      <c r="CF76" s="196"/>
      <c r="CG76" s="196"/>
      <c r="CH76" s="196"/>
      <c r="CI76" s="196"/>
      <c r="CJ76" s="196"/>
      <c r="CK76" s="196"/>
      <c r="CL76" s="196"/>
      <c r="CM76" s="196"/>
      <c r="CN76" s="196"/>
      <c r="CO76" s="196"/>
      <c r="CP76" s="196"/>
      <c r="CQ76" s="196"/>
      <c r="CR76" s="196"/>
      <c r="CS76" s="196"/>
      <c r="CT76" s="196"/>
      <c r="CU76" s="196"/>
      <c r="CV76" s="196"/>
      <c r="CW76" s="196"/>
      <c r="CX76" s="196"/>
      <c r="CY76" s="196"/>
      <c r="CZ76" s="196"/>
      <c r="DA76" s="196"/>
      <c r="DB76" s="196"/>
      <c r="DC76" s="196"/>
      <c r="DD76" s="196"/>
      <c r="DE76" s="196"/>
      <c r="DF76" s="196"/>
      <c r="DG76" s="196"/>
      <c r="DH76" s="196"/>
      <c r="DI76" s="196"/>
      <c r="DJ76" s="196"/>
      <c r="DK76" s="196"/>
      <c r="DL76" s="196"/>
      <c r="DM76" s="196"/>
      <c r="DN76" s="196"/>
      <c r="DO76" s="196"/>
      <c r="DP76" s="196"/>
      <c r="DQ76" s="196"/>
      <c r="DR76" s="196"/>
      <c r="DS76" s="196"/>
      <c r="DT76" s="196"/>
      <c r="DU76" s="196"/>
      <c r="DV76" s="196"/>
      <c r="DW76" s="196"/>
      <c r="DX76" s="196"/>
      <c r="DY76" s="196"/>
      <c r="DZ76" s="196"/>
      <c r="EA76" s="196"/>
      <c r="EB76" s="196"/>
      <c r="EC76" s="196"/>
      <c r="ED76" s="196"/>
      <c r="EE76" s="196"/>
      <c r="EF76" s="196"/>
      <c r="EG76" s="196"/>
      <c r="EH76" s="196"/>
      <c r="EI76" s="196"/>
      <c r="EJ76" s="196"/>
      <c r="EK76" s="196"/>
      <c r="EL76" s="196"/>
      <c r="EM76" s="196"/>
      <c r="EN76" s="196"/>
      <c r="EO76" s="196"/>
      <c r="EP76" s="196"/>
      <c r="EQ76" s="196"/>
      <c r="ER76" s="196"/>
      <c r="ES76" s="196"/>
      <c r="ET76" s="196"/>
      <c r="EU76" s="196"/>
      <c r="EV76" s="196"/>
      <c r="EW76" s="196"/>
      <c r="EX76" s="196"/>
      <c r="EY76" s="196"/>
      <c r="EZ76" s="196"/>
      <c r="FA76" s="196"/>
      <c r="FB76" s="196"/>
      <c r="FC76" s="196"/>
      <c r="FD76" s="196"/>
      <c r="FE76" s="196"/>
      <c r="FF76" s="196"/>
      <c r="FG76" s="196"/>
      <c r="FH76" s="196"/>
      <c r="FI76" s="196"/>
      <c r="FJ76" s="196"/>
      <c r="FK76" s="196"/>
      <c r="FL76" s="196"/>
      <c r="FM76" s="196"/>
      <c r="FN76" s="196"/>
      <c r="FO76" s="196"/>
      <c r="FP76" s="196"/>
      <c r="FQ76" s="196"/>
      <c r="FR76" s="196"/>
      <c r="FS76" s="49" t="s">
        <v>33</v>
      </c>
      <c r="FT76" s="49" t="s">
        <v>33</v>
      </c>
      <c r="FU76" s="49" t="s">
        <v>33</v>
      </c>
      <c r="FV76" s="49" t="s">
        <v>33</v>
      </c>
      <c r="FW76" s="49" t="s">
        <v>33</v>
      </c>
      <c r="FX76" s="49" t="s">
        <v>33</v>
      </c>
      <c r="FY76" s="49" t="s">
        <v>33</v>
      </c>
      <c r="FZ76" s="49" t="s">
        <v>33</v>
      </c>
      <c r="GA76" s="49" t="s">
        <v>33</v>
      </c>
      <c r="GB76" s="49" t="s">
        <v>33</v>
      </c>
      <c r="GC76" s="49" t="s">
        <v>33</v>
      </c>
      <c r="GD76" s="13" t="s">
        <v>33</v>
      </c>
      <c r="GE76" s="13" t="s">
        <v>33</v>
      </c>
      <c r="GF76" s="13" t="s">
        <v>33</v>
      </c>
      <c r="GG76" s="13" t="s">
        <v>33</v>
      </c>
      <c r="GH76" s="13" t="s">
        <v>33</v>
      </c>
      <c r="GI76" s="13" t="s">
        <v>33</v>
      </c>
      <c r="GJ76" s="13" t="s">
        <v>33</v>
      </c>
    </row>
    <row r="77" s="13" customFormat="true" ht="15.75" hidden="false" customHeight="true" outlineLevel="0" collapsed="false">
      <c r="A77" s="13" t="s">
        <v>341</v>
      </c>
      <c r="B77" s="196"/>
      <c r="C77" s="196"/>
      <c r="D77" s="196"/>
      <c r="E77" s="196"/>
      <c r="F77" s="196"/>
      <c r="G77" s="196"/>
      <c r="H77" s="196"/>
      <c r="I77" s="196"/>
      <c r="J77" s="196"/>
      <c r="K77" s="196"/>
      <c r="L77" s="196"/>
      <c r="M77" s="196"/>
      <c r="N77" s="196"/>
      <c r="O77" s="196"/>
      <c r="P77" s="196"/>
      <c r="Q77" s="196"/>
      <c r="R77" s="196"/>
      <c r="S77" s="196"/>
      <c r="T77" s="196"/>
      <c r="U77" s="196"/>
      <c r="V77" s="196"/>
      <c r="W77" s="196"/>
      <c r="X77" s="196"/>
      <c r="Y77" s="196"/>
      <c r="Z77" s="196"/>
      <c r="AA77" s="196"/>
      <c r="AB77" s="196"/>
      <c r="AC77" s="196"/>
      <c r="AD77" s="196"/>
      <c r="AE77" s="196"/>
      <c r="AF77" s="196"/>
      <c r="AG77" s="196"/>
      <c r="AH77" s="196"/>
      <c r="AI77" s="196"/>
      <c r="AJ77" s="196"/>
      <c r="AK77" s="196"/>
      <c r="AL77" s="196"/>
      <c r="AM77" s="196"/>
      <c r="AN77" s="196"/>
      <c r="AO77" s="196"/>
      <c r="AP77" s="196"/>
      <c r="AQ77" s="196"/>
      <c r="AR77" s="196"/>
      <c r="AS77" s="196"/>
      <c r="AT77" s="196"/>
      <c r="AU77" s="196"/>
      <c r="AV77" s="196"/>
      <c r="AW77" s="196"/>
      <c r="AX77" s="196"/>
      <c r="AY77" s="196"/>
      <c r="AZ77" s="196"/>
      <c r="BA77" s="196"/>
      <c r="BB77" s="196"/>
      <c r="BC77" s="196"/>
      <c r="BD77" s="196"/>
      <c r="BE77" s="196"/>
      <c r="BF77" s="196"/>
      <c r="BG77" s="196"/>
      <c r="BH77" s="196"/>
      <c r="BI77" s="196"/>
      <c r="BJ77" s="196"/>
      <c r="BK77" s="196"/>
      <c r="BL77" s="196"/>
      <c r="BM77" s="196"/>
      <c r="BN77" s="196"/>
      <c r="BO77" s="196"/>
      <c r="BP77" s="196"/>
      <c r="BQ77" s="196"/>
      <c r="BR77" s="196"/>
      <c r="BS77" s="196"/>
      <c r="BT77" s="196"/>
      <c r="BU77" s="196"/>
      <c r="BV77" s="196"/>
      <c r="BW77" s="196"/>
      <c r="BX77" s="196"/>
      <c r="BY77" s="196"/>
      <c r="BZ77" s="196"/>
      <c r="CA77" s="196"/>
      <c r="CB77" s="196"/>
      <c r="CC77" s="196"/>
      <c r="CD77" s="196"/>
      <c r="CE77" s="196"/>
      <c r="CF77" s="196"/>
      <c r="CG77" s="196"/>
      <c r="CH77" s="196"/>
      <c r="CI77" s="196"/>
      <c r="CJ77" s="196"/>
      <c r="CK77" s="196"/>
      <c r="CL77" s="196"/>
      <c r="CM77" s="196"/>
      <c r="CN77" s="196"/>
      <c r="CO77" s="196"/>
      <c r="CP77" s="196"/>
      <c r="CQ77" s="196"/>
      <c r="CR77" s="196"/>
      <c r="CS77" s="196"/>
      <c r="CT77" s="196"/>
      <c r="CU77" s="196"/>
      <c r="CV77" s="196"/>
      <c r="CW77" s="196"/>
      <c r="CX77" s="196"/>
      <c r="CY77" s="196"/>
      <c r="CZ77" s="196"/>
      <c r="DA77" s="196"/>
      <c r="DB77" s="196"/>
      <c r="DC77" s="196"/>
      <c r="DD77" s="196"/>
      <c r="DE77" s="196"/>
      <c r="DF77" s="196"/>
      <c r="DG77" s="196"/>
      <c r="DH77" s="196"/>
      <c r="DI77" s="196"/>
      <c r="DJ77" s="196"/>
      <c r="DK77" s="196"/>
      <c r="DL77" s="196"/>
      <c r="DM77" s="196"/>
      <c r="DN77" s="196"/>
      <c r="DO77" s="196"/>
      <c r="DP77" s="196"/>
      <c r="DQ77" s="196"/>
      <c r="DR77" s="196"/>
      <c r="DS77" s="196"/>
      <c r="DT77" s="196"/>
      <c r="DU77" s="196"/>
      <c r="DV77" s="196"/>
      <c r="DW77" s="196"/>
      <c r="DX77" s="196"/>
      <c r="DY77" s="196"/>
      <c r="DZ77" s="196"/>
      <c r="EA77" s="196"/>
      <c r="EB77" s="196"/>
      <c r="EC77" s="196"/>
      <c r="ED77" s="196"/>
      <c r="EE77" s="196"/>
      <c r="EF77" s="196"/>
      <c r="EG77" s="196"/>
      <c r="EH77" s="196"/>
      <c r="EI77" s="196"/>
      <c r="EJ77" s="196"/>
      <c r="EK77" s="196"/>
      <c r="EL77" s="196"/>
      <c r="EM77" s="196"/>
      <c r="EN77" s="196"/>
      <c r="EO77" s="196"/>
      <c r="EP77" s="196"/>
      <c r="EQ77" s="196"/>
      <c r="ER77" s="196"/>
      <c r="ES77" s="196"/>
      <c r="ET77" s="196"/>
      <c r="EU77" s="196"/>
      <c r="EV77" s="196"/>
      <c r="EW77" s="196"/>
      <c r="EX77" s="196"/>
      <c r="EY77" s="196"/>
      <c r="EZ77" s="196"/>
      <c r="FA77" s="196"/>
      <c r="FB77" s="196"/>
      <c r="FC77" s="196"/>
      <c r="FD77" s="196"/>
      <c r="FE77" s="196"/>
      <c r="FF77" s="196"/>
      <c r="FG77" s="196"/>
      <c r="FH77" s="196"/>
      <c r="FI77" s="196"/>
      <c r="FJ77" s="196"/>
      <c r="FK77" s="196"/>
      <c r="FL77" s="196"/>
      <c r="FM77" s="196"/>
      <c r="FN77" s="196"/>
      <c r="FO77" s="196"/>
      <c r="FP77" s="196"/>
      <c r="FQ77" s="196"/>
      <c r="FR77" s="196"/>
      <c r="FS77" s="49" t="s">
        <v>33</v>
      </c>
      <c r="FT77" s="49" t="s">
        <v>33</v>
      </c>
      <c r="FU77" s="49" t="s">
        <v>33</v>
      </c>
      <c r="FV77" s="49" t="s">
        <v>33</v>
      </c>
      <c r="FW77" s="49" t="s">
        <v>33</v>
      </c>
      <c r="FX77" s="49" t="s">
        <v>33</v>
      </c>
      <c r="FY77" s="49" t="s">
        <v>33</v>
      </c>
      <c r="FZ77" s="49" t="s">
        <v>33</v>
      </c>
      <c r="GA77" s="49" t="s">
        <v>33</v>
      </c>
      <c r="GB77" s="49" t="s">
        <v>33</v>
      </c>
      <c r="GC77" s="49" t="s">
        <v>33</v>
      </c>
      <c r="GD77" s="13" t="s">
        <v>33</v>
      </c>
      <c r="GE77" s="13" t="s">
        <v>33</v>
      </c>
      <c r="GF77" s="13" t="s">
        <v>33</v>
      </c>
      <c r="GG77" s="13" t="s">
        <v>33</v>
      </c>
      <c r="GH77" s="13" t="s">
        <v>33</v>
      </c>
      <c r="GI77" s="13" t="s">
        <v>33</v>
      </c>
      <c r="GJ77" s="13" t="s">
        <v>33</v>
      </c>
    </row>
    <row r="78" s="13" customFormat="true" ht="15.75" hidden="false" customHeight="true" outlineLevel="0" collapsed="false">
      <c r="A78" s="13" t="s">
        <v>344</v>
      </c>
      <c r="B78" s="196"/>
      <c r="C78" s="196"/>
      <c r="D78" s="196"/>
      <c r="E78" s="196"/>
      <c r="F78" s="196"/>
      <c r="G78" s="196"/>
      <c r="H78" s="196"/>
      <c r="I78" s="196"/>
      <c r="J78" s="196"/>
      <c r="K78" s="196"/>
      <c r="L78" s="196"/>
      <c r="M78" s="196"/>
      <c r="N78" s="196"/>
      <c r="O78" s="196"/>
      <c r="P78" s="196"/>
      <c r="Q78" s="196"/>
      <c r="R78" s="196"/>
      <c r="S78" s="196"/>
      <c r="T78" s="196"/>
      <c r="U78" s="196"/>
      <c r="V78" s="196"/>
      <c r="W78" s="196"/>
      <c r="X78" s="196"/>
      <c r="Y78" s="196"/>
      <c r="Z78" s="196"/>
      <c r="AA78" s="196"/>
      <c r="AB78" s="196"/>
      <c r="AC78" s="196"/>
      <c r="AD78" s="196"/>
      <c r="AE78" s="196"/>
      <c r="AF78" s="196"/>
      <c r="AG78" s="196"/>
      <c r="AH78" s="196"/>
      <c r="AI78" s="196"/>
      <c r="AJ78" s="196"/>
      <c r="AK78" s="196"/>
      <c r="AL78" s="196"/>
      <c r="AM78" s="196"/>
      <c r="AN78" s="196"/>
      <c r="AO78" s="196"/>
      <c r="AP78" s="196"/>
      <c r="AQ78" s="196"/>
      <c r="AR78" s="196"/>
      <c r="AS78" s="196"/>
      <c r="AT78" s="196"/>
      <c r="AU78" s="196"/>
      <c r="AV78" s="196"/>
      <c r="AW78" s="196"/>
      <c r="AX78" s="196"/>
      <c r="AY78" s="196"/>
      <c r="AZ78" s="196"/>
      <c r="BA78" s="196"/>
      <c r="BB78" s="196"/>
      <c r="BC78" s="196"/>
      <c r="BD78" s="196"/>
      <c r="BE78" s="196"/>
      <c r="BF78" s="196"/>
      <c r="BG78" s="196"/>
      <c r="BH78" s="196"/>
      <c r="BI78" s="196"/>
      <c r="BJ78" s="196"/>
      <c r="BK78" s="196"/>
      <c r="BL78" s="196"/>
      <c r="BM78" s="196"/>
      <c r="BN78" s="196"/>
      <c r="BO78" s="196"/>
      <c r="BP78" s="196"/>
      <c r="BQ78" s="196"/>
      <c r="BR78" s="196"/>
      <c r="BS78" s="196"/>
      <c r="BT78" s="196"/>
      <c r="BU78" s="196"/>
      <c r="BV78" s="196"/>
      <c r="BW78" s="196"/>
      <c r="BX78" s="196"/>
      <c r="BY78" s="196"/>
      <c r="BZ78" s="196"/>
      <c r="CA78" s="196"/>
      <c r="CB78" s="196"/>
      <c r="CC78" s="196"/>
      <c r="CD78" s="196"/>
      <c r="CE78" s="196"/>
      <c r="CF78" s="196"/>
      <c r="CG78" s="196"/>
      <c r="CH78" s="196"/>
      <c r="CI78" s="196"/>
      <c r="CJ78" s="196"/>
      <c r="CK78" s="196"/>
      <c r="CL78" s="196"/>
      <c r="CM78" s="196"/>
      <c r="CN78" s="196"/>
      <c r="CO78" s="196"/>
      <c r="CP78" s="196"/>
      <c r="CQ78" s="196"/>
      <c r="CR78" s="196"/>
      <c r="CS78" s="196"/>
      <c r="CT78" s="196"/>
      <c r="CU78" s="196"/>
      <c r="CV78" s="196"/>
      <c r="CW78" s="196"/>
      <c r="CX78" s="196"/>
      <c r="CY78" s="196"/>
      <c r="CZ78" s="196"/>
      <c r="DA78" s="196"/>
      <c r="DB78" s="196"/>
      <c r="DC78" s="196"/>
      <c r="DD78" s="196"/>
      <c r="DE78" s="196"/>
      <c r="DF78" s="196"/>
      <c r="DG78" s="196"/>
      <c r="DH78" s="196"/>
      <c r="DI78" s="196"/>
      <c r="DJ78" s="196"/>
      <c r="DK78" s="196"/>
      <c r="DL78" s="196"/>
      <c r="DM78" s="196"/>
      <c r="DN78" s="196"/>
      <c r="DO78" s="196"/>
      <c r="DP78" s="196"/>
      <c r="DQ78" s="196"/>
      <c r="DR78" s="196"/>
      <c r="DS78" s="196"/>
      <c r="DT78" s="196"/>
      <c r="DU78" s="196"/>
      <c r="DV78" s="196"/>
      <c r="DW78" s="196"/>
      <c r="DX78" s="196"/>
      <c r="DY78" s="196"/>
      <c r="DZ78" s="196"/>
      <c r="EA78" s="196"/>
      <c r="EB78" s="196"/>
      <c r="EC78" s="196"/>
      <c r="ED78" s="196"/>
      <c r="EE78" s="196"/>
      <c r="EF78" s="196"/>
      <c r="EG78" s="196"/>
      <c r="EH78" s="196"/>
      <c r="EI78" s="196"/>
      <c r="EJ78" s="196"/>
      <c r="EK78" s="196"/>
      <c r="EL78" s="196"/>
      <c r="EM78" s="196"/>
      <c r="EN78" s="196"/>
      <c r="EO78" s="196"/>
      <c r="EP78" s="196"/>
      <c r="EQ78" s="196"/>
      <c r="ER78" s="196"/>
      <c r="ES78" s="196"/>
      <c r="ET78" s="196"/>
      <c r="EU78" s="196"/>
      <c r="EV78" s="196"/>
      <c r="EW78" s="196"/>
      <c r="EX78" s="196"/>
      <c r="EY78" s="196"/>
      <c r="EZ78" s="196"/>
      <c r="FA78" s="196"/>
      <c r="FB78" s="196"/>
      <c r="FC78" s="196"/>
      <c r="FD78" s="196"/>
      <c r="FE78" s="196"/>
      <c r="FF78" s="196"/>
      <c r="FG78" s="196"/>
      <c r="FH78" s="196"/>
      <c r="FI78" s="196"/>
      <c r="FJ78" s="196"/>
      <c r="FK78" s="196"/>
      <c r="FL78" s="196"/>
      <c r="FM78" s="196"/>
      <c r="FN78" s="196"/>
      <c r="FO78" s="196"/>
      <c r="FP78" s="196"/>
      <c r="FQ78" s="196"/>
      <c r="FR78" s="196"/>
      <c r="FS78" s="196"/>
      <c r="FT78" s="49" t="s">
        <v>33</v>
      </c>
      <c r="FU78" s="49" t="s">
        <v>33</v>
      </c>
      <c r="FV78" s="49" t="s">
        <v>33</v>
      </c>
      <c r="FW78" s="49" t="s">
        <v>33</v>
      </c>
      <c r="FX78" s="49" t="s">
        <v>33</v>
      </c>
      <c r="FY78" s="49" t="s">
        <v>33</v>
      </c>
      <c r="FZ78" s="49" t="s">
        <v>33</v>
      </c>
      <c r="GA78" s="49" t="s">
        <v>33</v>
      </c>
      <c r="GB78" s="49" t="s">
        <v>33</v>
      </c>
      <c r="GC78" s="49" t="s">
        <v>33</v>
      </c>
      <c r="GD78" s="13" t="s">
        <v>33</v>
      </c>
      <c r="GE78" s="13" t="s">
        <v>33</v>
      </c>
      <c r="GF78" s="13" t="s">
        <v>33</v>
      </c>
      <c r="GG78" s="13" t="s">
        <v>33</v>
      </c>
      <c r="GH78" s="13" t="s">
        <v>33</v>
      </c>
      <c r="GI78" s="13" t="s">
        <v>33</v>
      </c>
      <c r="GJ78" s="13" t="s">
        <v>33</v>
      </c>
    </row>
    <row r="79" s="13" customFormat="true" ht="15.75" hidden="false" customHeight="true" outlineLevel="0" collapsed="false">
      <c r="A79" s="13" t="s">
        <v>347</v>
      </c>
      <c r="B79" s="196"/>
      <c r="C79" s="196"/>
      <c r="D79" s="196"/>
      <c r="E79" s="196"/>
      <c r="F79" s="196"/>
      <c r="G79" s="196"/>
      <c r="H79" s="196"/>
      <c r="I79" s="196"/>
      <c r="J79" s="196"/>
      <c r="K79" s="196"/>
      <c r="L79" s="196"/>
      <c r="M79" s="196"/>
      <c r="N79" s="196"/>
      <c r="O79" s="196"/>
      <c r="P79" s="196"/>
      <c r="Q79" s="196"/>
      <c r="R79" s="196"/>
      <c r="S79" s="196"/>
      <c r="T79" s="196"/>
      <c r="U79" s="196"/>
      <c r="V79" s="196"/>
      <c r="W79" s="196"/>
      <c r="X79" s="196"/>
      <c r="Y79" s="196"/>
      <c r="Z79" s="196"/>
      <c r="AA79" s="196"/>
      <c r="AB79" s="196"/>
      <c r="AC79" s="196"/>
      <c r="AD79" s="196"/>
      <c r="AE79" s="196"/>
      <c r="AF79" s="196"/>
      <c r="AG79" s="196"/>
      <c r="AH79" s="196"/>
      <c r="AI79" s="196"/>
      <c r="AJ79" s="196"/>
      <c r="AK79" s="196"/>
      <c r="AL79" s="196"/>
      <c r="AM79" s="196"/>
      <c r="AN79" s="196"/>
      <c r="AO79" s="196"/>
      <c r="AP79" s="196"/>
      <c r="AQ79" s="196"/>
      <c r="AR79" s="196"/>
      <c r="AS79" s="196"/>
      <c r="AT79" s="196"/>
      <c r="AU79" s="196"/>
      <c r="AV79" s="196"/>
      <c r="AW79" s="196"/>
      <c r="AX79" s="196"/>
      <c r="AY79" s="196"/>
      <c r="AZ79" s="196"/>
      <c r="BA79" s="196"/>
      <c r="BB79" s="196"/>
      <c r="BC79" s="196"/>
      <c r="BD79" s="196"/>
      <c r="BE79" s="196"/>
      <c r="BF79" s="196"/>
      <c r="BG79" s="196"/>
      <c r="BH79" s="196"/>
      <c r="BI79" s="196"/>
      <c r="BJ79" s="196"/>
      <c r="BK79" s="196"/>
      <c r="BL79" s="196"/>
      <c r="BM79" s="196"/>
      <c r="BN79" s="196"/>
      <c r="BO79" s="196"/>
      <c r="BP79" s="196"/>
      <c r="BQ79" s="196"/>
      <c r="BR79" s="196"/>
      <c r="BS79" s="196"/>
      <c r="BT79" s="196"/>
      <c r="BU79" s="196"/>
      <c r="BV79" s="196"/>
      <c r="BW79" s="196"/>
      <c r="BX79" s="196"/>
      <c r="BY79" s="196"/>
      <c r="BZ79" s="196"/>
      <c r="CA79" s="196"/>
      <c r="CB79" s="196"/>
      <c r="CC79" s="196"/>
      <c r="CD79" s="196"/>
      <c r="CE79" s="196"/>
      <c r="CF79" s="196"/>
      <c r="CG79" s="196"/>
      <c r="CH79" s="196"/>
      <c r="CI79" s="196"/>
      <c r="CJ79" s="196"/>
      <c r="CK79" s="196"/>
      <c r="CL79" s="196"/>
      <c r="CM79" s="196"/>
      <c r="CN79" s="196"/>
      <c r="CO79" s="196"/>
      <c r="CP79" s="196"/>
      <c r="CQ79" s="196"/>
      <c r="CR79" s="196"/>
      <c r="CS79" s="196"/>
      <c r="CT79" s="196"/>
      <c r="CU79" s="196"/>
      <c r="CV79" s="196"/>
      <c r="CW79" s="196"/>
      <c r="CX79" s="196"/>
      <c r="CY79" s="196"/>
      <c r="CZ79" s="196"/>
      <c r="DA79" s="196"/>
      <c r="DB79" s="196"/>
      <c r="DC79" s="196"/>
      <c r="DD79" s="196"/>
      <c r="DE79" s="196"/>
      <c r="DF79" s="196"/>
      <c r="DG79" s="196"/>
      <c r="DH79" s="196"/>
      <c r="DI79" s="196"/>
      <c r="DJ79" s="196"/>
      <c r="DK79" s="196"/>
      <c r="DL79" s="196"/>
      <c r="DM79" s="196"/>
      <c r="DN79" s="196"/>
      <c r="DO79" s="196"/>
      <c r="DP79" s="196"/>
      <c r="DQ79" s="196"/>
      <c r="DR79" s="196"/>
      <c r="DS79" s="196"/>
      <c r="DT79" s="196"/>
      <c r="DU79" s="196"/>
      <c r="DV79" s="196"/>
      <c r="DW79" s="196"/>
      <c r="DX79" s="196"/>
      <c r="DY79" s="196"/>
      <c r="DZ79" s="196"/>
      <c r="EA79" s="196"/>
      <c r="EB79" s="196"/>
      <c r="EC79" s="196"/>
      <c r="ED79" s="196"/>
      <c r="EE79" s="196"/>
      <c r="EF79" s="196"/>
      <c r="EG79" s="196"/>
      <c r="EH79" s="196"/>
      <c r="EI79" s="196"/>
      <c r="EJ79" s="196"/>
      <c r="EK79" s="196"/>
      <c r="EL79" s="196"/>
      <c r="EM79" s="196"/>
      <c r="EN79" s="196"/>
      <c r="EO79" s="196"/>
      <c r="EP79" s="196"/>
      <c r="EQ79" s="196"/>
      <c r="ER79" s="196"/>
      <c r="ES79" s="196"/>
      <c r="ET79" s="196"/>
      <c r="EU79" s="196"/>
      <c r="EV79" s="196"/>
      <c r="EW79" s="196"/>
      <c r="EX79" s="196"/>
      <c r="EY79" s="196"/>
      <c r="EZ79" s="196"/>
      <c r="FA79" s="196"/>
      <c r="FB79" s="196"/>
      <c r="FC79" s="196"/>
      <c r="FD79" s="196"/>
      <c r="FE79" s="196"/>
      <c r="FF79" s="196"/>
      <c r="FG79" s="196"/>
      <c r="FH79" s="196"/>
      <c r="FI79" s="196"/>
      <c r="FJ79" s="196"/>
      <c r="FK79" s="196"/>
      <c r="FL79" s="196"/>
      <c r="FM79" s="196"/>
      <c r="FN79" s="196"/>
      <c r="FO79" s="196"/>
      <c r="FP79" s="196"/>
      <c r="FQ79" s="196"/>
      <c r="FR79" s="196"/>
      <c r="FS79" s="196"/>
      <c r="FT79" s="196"/>
      <c r="FU79" s="196"/>
      <c r="FV79" s="49" t="s">
        <v>33</v>
      </c>
      <c r="FW79" s="49" t="s">
        <v>33</v>
      </c>
      <c r="FX79" s="49" t="s">
        <v>33</v>
      </c>
      <c r="FY79" s="49" t="s">
        <v>33</v>
      </c>
      <c r="FZ79" s="49" t="s">
        <v>33</v>
      </c>
      <c r="GA79" s="49" t="s">
        <v>33</v>
      </c>
      <c r="GB79" s="49" t="s">
        <v>33</v>
      </c>
      <c r="GC79" s="49" t="s">
        <v>33</v>
      </c>
      <c r="GD79" s="13" t="s">
        <v>33</v>
      </c>
      <c r="GE79" s="13" t="s">
        <v>33</v>
      </c>
      <c r="GF79" s="13" t="s">
        <v>33</v>
      </c>
      <c r="GG79" s="13" t="s">
        <v>33</v>
      </c>
      <c r="GH79" s="13" t="s">
        <v>33</v>
      </c>
      <c r="GI79" s="13" t="s">
        <v>33</v>
      </c>
      <c r="GJ79" s="13" t="s">
        <v>33</v>
      </c>
    </row>
    <row r="80" s="13" customFormat="true" ht="15.75" hidden="false" customHeight="true" outlineLevel="0" collapsed="false">
      <c r="A80" s="13" t="s">
        <v>350</v>
      </c>
      <c r="B80" s="196"/>
      <c r="C80" s="196"/>
      <c r="D80" s="196"/>
      <c r="E80" s="196"/>
      <c r="F80" s="196"/>
      <c r="G80" s="196"/>
      <c r="H80" s="196"/>
      <c r="I80" s="196"/>
      <c r="J80" s="196"/>
      <c r="K80" s="196"/>
      <c r="L80" s="196"/>
      <c r="M80" s="196"/>
      <c r="N80" s="196"/>
      <c r="O80" s="196"/>
      <c r="P80" s="196"/>
      <c r="Q80" s="196"/>
      <c r="R80" s="196"/>
      <c r="S80" s="196"/>
      <c r="T80" s="196"/>
      <c r="U80" s="196"/>
      <c r="V80" s="196"/>
      <c r="W80" s="196"/>
      <c r="X80" s="196"/>
      <c r="Y80" s="196"/>
      <c r="Z80" s="196"/>
      <c r="AA80" s="196"/>
      <c r="AB80" s="196"/>
      <c r="AC80" s="196"/>
      <c r="AD80" s="196"/>
      <c r="AE80" s="196"/>
      <c r="AF80" s="196"/>
      <c r="AG80" s="196"/>
      <c r="AH80" s="196"/>
      <c r="AI80" s="196"/>
      <c r="AJ80" s="196"/>
      <c r="AK80" s="196"/>
      <c r="AL80" s="196"/>
      <c r="AM80" s="196"/>
      <c r="AN80" s="196"/>
      <c r="AO80" s="196"/>
      <c r="AP80" s="196"/>
      <c r="AQ80" s="196"/>
      <c r="AR80" s="196"/>
      <c r="AS80" s="196"/>
      <c r="AT80" s="196"/>
      <c r="AU80" s="196"/>
      <c r="AV80" s="196"/>
      <c r="AW80" s="196"/>
      <c r="AX80" s="196"/>
      <c r="AY80" s="196"/>
      <c r="AZ80" s="196"/>
      <c r="BA80" s="196"/>
      <c r="BB80" s="196"/>
      <c r="BC80" s="196"/>
      <c r="BD80" s="196"/>
      <c r="BE80" s="196"/>
      <c r="BF80" s="196"/>
      <c r="BG80" s="196"/>
      <c r="BH80" s="196"/>
      <c r="BI80" s="196"/>
      <c r="BJ80" s="196"/>
      <c r="BK80" s="196"/>
      <c r="BL80" s="196"/>
      <c r="BM80" s="196"/>
      <c r="BN80" s="196"/>
      <c r="BO80" s="196"/>
      <c r="BP80" s="196"/>
      <c r="BQ80" s="196"/>
      <c r="BR80" s="196"/>
      <c r="BS80" s="196"/>
      <c r="BT80" s="196"/>
      <c r="BU80" s="196"/>
      <c r="BV80" s="196"/>
      <c r="BW80" s="196"/>
      <c r="BX80" s="196"/>
      <c r="BY80" s="196"/>
      <c r="BZ80" s="196"/>
      <c r="CA80" s="196"/>
      <c r="CB80" s="196"/>
      <c r="CC80" s="196"/>
      <c r="CD80" s="196"/>
      <c r="CE80" s="196"/>
      <c r="CF80" s="196"/>
      <c r="CG80" s="196"/>
      <c r="CH80" s="196"/>
      <c r="CI80" s="196"/>
      <c r="CJ80" s="196"/>
      <c r="CK80" s="196"/>
      <c r="CL80" s="196"/>
      <c r="CM80" s="196"/>
      <c r="CN80" s="196"/>
      <c r="CO80" s="196"/>
      <c r="CP80" s="196"/>
      <c r="CQ80" s="196"/>
      <c r="CR80" s="196"/>
      <c r="CS80" s="196"/>
      <c r="CT80" s="196"/>
      <c r="CU80" s="196"/>
      <c r="CV80" s="196"/>
      <c r="CW80" s="196"/>
      <c r="CX80" s="196"/>
      <c r="CY80" s="196"/>
      <c r="CZ80" s="196"/>
      <c r="DA80" s="196"/>
      <c r="DB80" s="196"/>
      <c r="DC80" s="196"/>
      <c r="DD80" s="196"/>
      <c r="DE80" s="196"/>
      <c r="DF80" s="196"/>
      <c r="DG80" s="196"/>
      <c r="DH80" s="196"/>
      <c r="DI80" s="196"/>
      <c r="DJ80" s="196"/>
      <c r="DK80" s="196"/>
      <c r="DL80" s="196"/>
      <c r="DM80" s="196"/>
      <c r="DN80" s="196"/>
      <c r="DO80" s="196"/>
      <c r="DP80" s="196"/>
      <c r="DQ80" s="196"/>
      <c r="DR80" s="196"/>
      <c r="DS80" s="196"/>
      <c r="DT80" s="196"/>
      <c r="DU80" s="196"/>
      <c r="DV80" s="196"/>
      <c r="DW80" s="196"/>
      <c r="DX80" s="196"/>
      <c r="DY80" s="196"/>
      <c r="DZ80" s="196"/>
      <c r="EA80" s="196"/>
      <c r="EB80" s="196"/>
      <c r="EC80" s="196"/>
      <c r="ED80" s="196"/>
      <c r="EE80" s="196"/>
      <c r="EF80" s="196"/>
      <c r="EG80" s="196"/>
      <c r="EH80" s="196"/>
      <c r="EI80" s="196"/>
      <c r="EJ80" s="196"/>
      <c r="EK80" s="196"/>
      <c r="EL80" s="196"/>
      <c r="EM80" s="196"/>
      <c r="EN80" s="196"/>
      <c r="EO80" s="196"/>
      <c r="EP80" s="196"/>
      <c r="EQ80" s="196"/>
      <c r="ER80" s="196"/>
      <c r="ES80" s="196"/>
      <c r="ET80" s="196"/>
      <c r="EU80" s="196"/>
      <c r="EV80" s="196"/>
      <c r="EW80" s="196"/>
      <c r="EX80" s="196"/>
      <c r="EY80" s="196"/>
      <c r="EZ80" s="196"/>
      <c r="FA80" s="196"/>
      <c r="FB80" s="196"/>
      <c r="FC80" s="196"/>
      <c r="FD80" s="196"/>
      <c r="FE80" s="196"/>
      <c r="FF80" s="196"/>
      <c r="FG80" s="196"/>
      <c r="FH80" s="196"/>
      <c r="FI80" s="196"/>
      <c r="FJ80" s="196"/>
      <c r="FK80" s="196"/>
      <c r="FL80" s="196"/>
      <c r="FM80" s="196"/>
      <c r="FN80" s="196"/>
      <c r="FO80" s="196"/>
      <c r="FP80" s="196"/>
      <c r="FQ80" s="196"/>
      <c r="FR80" s="196"/>
      <c r="FS80" s="196"/>
      <c r="FT80" s="196"/>
      <c r="FU80" s="196"/>
      <c r="FV80" s="196"/>
      <c r="FW80" s="196"/>
      <c r="FX80" s="196"/>
      <c r="FY80" s="196"/>
      <c r="FZ80" s="196"/>
      <c r="GA80" s="49" t="s">
        <v>33</v>
      </c>
      <c r="GB80" s="49" t="s">
        <v>33</v>
      </c>
      <c r="GC80" s="49" t="s">
        <v>33</v>
      </c>
      <c r="GD80" s="13" t="s">
        <v>33</v>
      </c>
      <c r="GE80" s="49" t="s">
        <v>37</v>
      </c>
      <c r="GF80" s="49" t="s">
        <v>37</v>
      </c>
      <c r="GG80" s="49" t="s">
        <v>33</v>
      </c>
      <c r="GH80" s="49" t="s">
        <v>33</v>
      </c>
      <c r="GI80" s="13" t="s">
        <v>33</v>
      </c>
      <c r="GJ80" s="13" t="s">
        <v>33</v>
      </c>
    </row>
    <row r="81" s="13" customFormat="true" ht="15.75" hidden="false" customHeight="true" outlineLevel="0" collapsed="false">
      <c r="A81" s="13" t="s">
        <v>353</v>
      </c>
      <c r="B81" s="196"/>
      <c r="C81" s="196"/>
      <c r="D81" s="196"/>
      <c r="E81" s="196"/>
      <c r="F81" s="196"/>
      <c r="G81" s="196"/>
      <c r="H81" s="196"/>
      <c r="I81" s="196"/>
      <c r="J81" s="196"/>
      <c r="K81" s="196"/>
      <c r="L81" s="196"/>
      <c r="M81" s="196"/>
      <c r="N81" s="196"/>
      <c r="O81" s="196"/>
      <c r="P81" s="196"/>
      <c r="Q81" s="196"/>
      <c r="R81" s="196"/>
      <c r="S81" s="196"/>
      <c r="T81" s="196"/>
      <c r="U81" s="196"/>
      <c r="V81" s="196"/>
      <c r="W81" s="196"/>
      <c r="X81" s="196"/>
      <c r="Y81" s="196"/>
      <c r="Z81" s="196"/>
      <c r="AA81" s="196"/>
      <c r="AB81" s="196"/>
      <c r="AC81" s="196"/>
      <c r="AD81" s="196"/>
      <c r="AE81" s="196"/>
      <c r="AF81" s="196"/>
      <c r="AG81" s="196"/>
      <c r="AH81" s="196"/>
      <c r="AI81" s="196"/>
      <c r="AJ81" s="196"/>
      <c r="AK81" s="196"/>
      <c r="AL81" s="196"/>
      <c r="AM81" s="196"/>
      <c r="AN81" s="196"/>
      <c r="AO81" s="196"/>
      <c r="AP81" s="196"/>
      <c r="AQ81" s="196"/>
      <c r="AR81" s="196"/>
      <c r="AS81" s="196"/>
      <c r="AT81" s="196"/>
      <c r="AU81" s="196"/>
      <c r="AV81" s="196"/>
      <c r="AW81" s="196"/>
      <c r="AX81" s="196"/>
      <c r="AY81" s="196"/>
      <c r="AZ81" s="196"/>
      <c r="BA81" s="196"/>
      <c r="BB81" s="196"/>
      <c r="BC81" s="196"/>
      <c r="BD81" s="196"/>
      <c r="BE81" s="196"/>
      <c r="BF81" s="196"/>
      <c r="BG81" s="196"/>
      <c r="BH81" s="196"/>
      <c r="BI81" s="196"/>
      <c r="BJ81" s="196"/>
      <c r="BK81" s="196"/>
      <c r="BL81" s="196"/>
      <c r="BM81" s="196"/>
      <c r="BN81" s="196"/>
      <c r="BO81" s="196"/>
      <c r="BP81" s="196"/>
      <c r="BQ81" s="196"/>
      <c r="BR81" s="196"/>
      <c r="BS81" s="196"/>
      <c r="BT81" s="196"/>
      <c r="BU81" s="196"/>
      <c r="BV81" s="196"/>
      <c r="BW81" s="196"/>
      <c r="BX81" s="196"/>
      <c r="BY81" s="196"/>
      <c r="BZ81" s="196"/>
      <c r="CA81" s="196"/>
      <c r="CB81" s="196"/>
      <c r="CC81" s="196"/>
      <c r="CD81" s="196"/>
      <c r="CE81" s="196"/>
      <c r="CF81" s="196"/>
      <c r="CG81" s="196"/>
      <c r="CH81" s="196"/>
      <c r="CI81" s="196"/>
      <c r="CJ81" s="196"/>
      <c r="CK81" s="196"/>
      <c r="CL81" s="196"/>
      <c r="CM81" s="196"/>
      <c r="CN81" s="196"/>
      <c r="CO81" s="196"/>
      <c r="CP81" s="196"/>
      <c r="CQ81" s="196"/>
      <c r="CR81" s="196"/>
      <c r="CS81" s="196"/>
      <c r="CT81" s="196"/>
      <c r="CU81" s="196"/>
      <c r="CV81" s="196"/>
      <c r="CW81" s="196"/>
      <c r="CX81" s="196"/>
      <c r="CY81" s="196"/>
      <c r="CZ81" s="196"/>
      <c r="DA81" s="196"/>
      <c r="DB81" s="196"/>
      <c r="DC81" s="196"/>
      <c r="DD81" s="196"/>
      <c r="DE81" s="196"/>
      <c r="DF81" s="196"/>
      <c r="DG81" s="196"/>
      <c r="DH81" s="196"/>
      <c r="DI81" s="196"/>
      <c r="DJ81" s="196"/>
      <c r="DK81" s="196"/>
      <c r="DL81" s="196"/>
      <c r="DM81" s="196"/>
      <c r="DN81" s="196"/>
      <c r="DO81" s="196"/>
      <c r="DP81" s="196"/>
      <c r="DQ81" s="196"/>
      <c r="DR81" s="196"/>
      <c r="DS81" s="196"/>
      <c r="DT81" s="196"/>
      <c r="DU81" s="196"/>
      <c r="DV81" s="196"/>
      <c r="DW81" s="196"/>
      <c r="DX81" s="196"/>
      <c r="DY81" s="196"/>
      <c r="DZ81" s="196"/>
      <c r="EA81" s="196"/>
      <c r="EB81" s="196"/>
      <c r="EC81" s="196"/>
      <c r="ED81" s="196"/>
      <c r="EE81" s="196"/>
      <c r="EF81" s="196"/>
      <c r="EG81" s="196"/>
      <c r="EH81" s="196"/>
      <c r="EI81" s="196"/>
      <c r="EJ81" s="196"/>
      <c r="EK81" s="196"/>
      <c r="EL81" s="196"/>
      <c r="EM81" s="196"/>
      <c r="EN81" s="196"/>
      <c r="EO81" s="196"/>
      <c r="EP81" s="196"/>
      <c r="EQ81" s="196"/>
      <c r="ER81" s="196"/>
      <c r="ES81" s="196"/>
      <c r="ET81" s="196"/>
      <c r="EU81" s="196"/>
      <c r="EV81" s="196"/>
      <c r="EW81" s="196"/>
      <c r="EX81" s="196"/>
      <c r="EY81" s="196"/>
      <c r="EZ81" s="196"/>
      <c r="FA81" s="196"/>
      <c r="FB81" s="196"/>
      <c r="FC81" s="196"/>
      <c r="FD81" s="196"/>
      <c r="FE81" s="196"/>
      <c r="FF81" s="196"/>
      <c r="FG81" s="196"/>
      <c r="FH81" s="196"/>
      <c r="FI81" s="196"/>
      <c r="FJ81" s="196"/>
      <c r="FK81" s="196"/>
      <c r="FL81" s="196"/>
      <c r="FM81" s="196"/>
      <c r="FN81" s="196"/>
      <c r="FO81" s="196"/>
      <c r="FP81" s="196"/>
      <c r="FQ81" s="196"/>
      <c r="FR81" s="196"/>
      <c r="FS81" s="196"/>
      <c r="FT81" s="196"/>
      <c r="FU81" s="196"/>
      <c r="FV81" s="196"/>
      <c r="FW81" s="196"/>
      <c r="FX81" s="196"/>
      <c r="FY81" s="196"/>
      <c r="FZ81" s="196"/>
      <c r="GA81" s="196"/>
      <c r="GB81" s="196"/>
      <c r="GC81" s="196"/>
      <c r="GD81" s="196"/>
      <c r="GE81" s="196"/>
      <c r="GF81" s="196"/>
      <c r="GG81" s="196"/>
      <c r="GH81" s="196"/>
      <c r="GI81" s="196"/>
      <c r="GJ81" s="196"/>
    </row>
    <row r="82" s="13" customFormat="true" ht="15.75" hidden="false" customHeight="true" outlineLevel="0" collapsed="false">
      <c r="A82" s="13" t="s">
        <v>356</v>
      </c>
      <c r="FH82" s="196"/>
      <c r="FI82" s="196"/>
      <c r="FJ82" s="196"/>
      <c r="FK82" s="196"/>
      <c r="FL82" s="196"/>
      <c r="FM82" s="196"/>
      <c r="FN82" s="196"/>
      <c r="FO82" s="196"/>
      <c r="FP82" s="196"/>
      <c r="FQ82" s="196"/>
      <c r="FR82" s="196"/>
      <c r="FS82" s="196"/>
      <c r="FT82" s="196"/>
      <c r="FU82" s="196"/>
      <c r="FV82" s="196"/>
      <c r="FW82" s="196"/>
      <c r="FX82" s="196"/>
      <c r="FY82" s="196"/>
      <c r="FZ82" s="196"/>
      <c r="GA82" s="196"/>
      <c r="GB82" s="196"/>
      <c r="GC82" s="196"/>
      <c r="GD82" s="196"/>
      <c r="GE82" s="196"/>
      <c r="GF82" s="196"/>
      <c r="GG82" s="196"/>
      <c r="GH82" s="196"/>
      <c r="GI82" s="196"/>
      <c r="GJ82" s="196"/>
    </row>
    <row r="83" s="13" customFormat="true" ht="15.75" hidden="false" customHeight="true" outlineLevel="0" collapsed="false">
      <c r="A83" s="13" t="s">
        <v>358</v>
      </c>
      <c r="FH83" s="196"/>
      <c r="FI83" s="196"/>
      <c r="FJ83" s="196"/>
      <c r="FK83" s="196"/>
      <c r="FL83" s="196"/>
      <c r="FM83" s="196"/>
      <c r="FN83" s="196"/>
      <c r="FO83" s="196"/>
      <c r="FP83" s="196"/>
      <c r="FQ83" s="196"/>
      <c r="FR83" s="196"/>
      <c r="FS83" s="196"/>
      <c r="FT83" s="196"/>
      <c r="FU83" s="196"/>
      <c r="FV83" s="196"/>
      <c r="FW83" s="196"/>
      <c r="FX83" s="196"/>
      <c r="FY83" s="196"/>
      <c r="FZ83" s="196"/>
      <c r="GA83" s="196"/>
      <c r="GB83" s="196"/>
      <c r="GC83" s="196"/>
      <c r="GD83" s="196"/>
      <c r="GE83" s="196"/>
      <c r="GF83" s="196"/>
      <c r="GG83" s="196"/>
      <c r="GH83" s="196"/>
      <c r="GI83" s="196"/>
      <c r="GJ83" s="196"/>
    </row>
    <row r="84" s="13" customFormat="true" ht="15.75" hidden="false" customHeight="true" outlineLevel="0" collapsed="false">
      <c r="A84" s="13" t="s">
        <v>361</v>
      </c>
      <c r="FH84" s="196"/>
      <c r="FI84" s="196"/>
      <c r="FJ84" s="196"/>
      <c r="FK84" s="196"/>
      <c r="FL84" s="196"/>
      <c r="FM84" s="196"/>
      <c r="FN84" s="196"/>
      <c r="FO84" s="196"/>
      <c r="FP84" s="196"/>
      <c r="FQ84" s="196"/>
      <c r="FR84" s="196"/>
      <c r="FS84" s="196"/>
      <c r="FT84" s="196"/>
      <c r="FU84" s="196"/>
      <c r="FV84" s="196"/>
      <c r="FW84" s="196"/>
      <c r="FX84" s="196"/>
      <c r="FY84" s="196"/>
      <c r="FZ84" s="196"/>
      <c r="GA84" s="196"/>
      <c r="GB84" s="196"/>
      <c r="GC84" s="196"/>
      <c r="GD84" s="196"/>
      <c r="GE84" s="196"/>
      <c r="GF84" s="196"/>
      <c r="GG84" s="196"/>
      <c r="GH84" s="196"/>
      <c r="GI84" s="196"/>
      <c r="GJ84" s="196"/>
    </row>
    <row r="85" s="13" customFormat="true" ht="15.75" hidden="false" customHeight="true" outlineLevel="0" collapsed="false">
      <c r="A85" s="13" t="s">
        <v>364</v>
      </c>
      <c r="FH85" s="196"/>
      <c r="FI85" s="196"/>
      <c r="FJ85" s="196"/>
      <c r="FK85" s="196"/>
      <c r="FL85" s="196"/>
      <c r="FM85" s="196"/>
      <c r="FN85" s="196"/>
      <c r="FO85" s="196"/>
      <c r="FP85" s="196"/>
      <c r="FQ85" s="196"/>
      <c r="FR85" s="196"/>
      <c r="FS85" s="196"/>
      <c r="FT85" s="196"/>
      <c r="FU85" s="196"/>
      <c r="FV85" s="196"/>
      <c r="FW85" s="196"/>
      <c r="FX85" s="196"/>
      <c r="FY85" s="196"/>
      <c r="FZ85" s="196"/>
      <c r="GA85" s="196"/>
      <c r="GB85" s="196"/>
      <c r="GC85" s="196"/>
      <c r="GD85" s="196"/>
      <c r="GE85" s="196"/>
      <c r="GF85" s="196"/>
      <c r="GG85" s="196"/>
      <c r="GH85" s="196"/>
      <c r="GI85" s="196"/>
      <c r="GJ85" s="196"/>
    </row>
    <row r="86" s="13" customFormat="true" ht="15.75" hidden="false" customHeight="true" outlineLevel="0" collapsed="false">
      <c r="A86" s="13" t="s">
        <v>367</v>
      </c>
      <c r="FH86" s="196"/>
      <c r="FI86" s="196"/>
      <c r="FJ86" s="196"/>
      <c r="FK86" s="196"/>
      <c r="FL86" s="196"/>
      <c r="FM86" s="196"/>
      <c r="FN86" s="196"/>
      <c r="FO86" s="196"/>
      <c r="FP86" s="196"/>
      <c r="FQ86" s="196"/>
      <c r="FR86" s="196"/>
      <c r="FS86" s="196"/>
      <c r="FT86" s="196"/>
      <c r="FU86" s="196"/>
      <c r="FV86" s="196"/>
      <c r="FW86" s="196"/>
      <c r="FX86" s="196"/>
      <c r="FY86" s="196"/>
      <c r="FZ86" s="196"/>
      <c r="GA86" s="196"/>
      <c r="GB86" s="196"/>
      <c r="GC86" s="196"/>
      <c r="GD86" s="196"/>
      <c r="GE86" s="196"/>
      <c r="GF86" s="196"/>
      <c r="GG86" s="196"/>
      <c r="GH86" s="196"/>
      <c r="GI86" s="196"/>
      <c r="GJ86" s="196"/>
    </row>
    <row r="87" s="13" customFormat="true" ht="15.75" hidden="false" customHeight="true" outlineLevel="0" collapsed="false">
      <c r="A87" s="13" t="s">
        <v>370</v>
      </c>
      <c r="FH87" s="196"/>
      <c r="FI87" s="196"/>
      <c r="FJ87" s="196"/>
      <c r="FK87" s="196"/>
      <c r="FL87" s="196"/>
      <c r="FM87" s="196"/>
      <c r="FN87" s="196"/>
      <c r="FO87" s="196"/>
      <c r="FP87" s="196"/>
      <c r="FQ87" s="196"/>
      <c r="FR87" s="196"/>
      <c r="FS87" s="196"/>
      <c r="FT87" s="196"/>
      <c r="FU87" s="196"/>
      <c r="FV87" s="196"/>
      <c r="FW87" s="196"/>
      <c r="FX87" s="196"/>
      <c r="FY87" s="196"/>
      <c r="FZ87" s="196"/>
      <c r="GA87" s="196"/>
      <c r="GB87" s="196"/>
      <c r="GC87" s="196"/>
      <c r="GD87" s="196"/>
      <c r="GE87" s="196"/>
      <c r="GF87" s="196"/>
      <c r="GG87" s="196"/>
      <c r="GH87" s="196"/>
      <c r="GI87" s="196"/>
      <c r="GJ87" s="196"/>
    </row>
    <row r="88" s="13" customFormat="true" ht="15.75" hidden="false" customHeight="true" outlineLevel="0" collapsed="false">
      <c r="A88" s="13" t="s">
        <v>373</v>
      </c>
      <c r="FH88" s="196"/>
      <c r="FI88" s="196"/>
      <c r="FJ88" s="196"/>
      <c r="FK88" s="196"/>
      <c r="FL88" s="196"/>
      <c r="FM88" s="196"/>
      <c r="FN88" s="196"/>
      <c r="FO88" s="196"/>
      <c r="FP88" s="196"/>
      <c r="FQ88" s="196"/>
      <c r="FR88" s="196"/>
      <c r="FS88" s="196"/>
      <c r="FT88" s="196"/>
      <c r="FU88" s="196"/>
      <c r="FV88" s="196"/>
      <c r="FW88" s="196"/>
      <c r="FX88" s="196"/>
      <c r="FY88" s="196"/>
      <c r="FZ88" s="196"/>
      <c r="GA88" s="196"/>
      <c r="GB88" s="196"/>
      <c r="GC88" s="196"/>
      <c r="GD88" s="196"/>
      <c r="GE88" s="196"/>
      <c r="GF88" s="196"/>
      <c r="GG88" s="196"/>
      <c r="GH88" s="196"/>
      <c r="GI88" s="196"/>
      <c r="GJ88" s="196"/>
    </row>
    <row r="89" s="13" customFormat="true" ht="15.75" hidden="false" customHeight="true" outlineLevel="0" collapsed="false">
      <c r="A89" s="13" t="s">
        <v>376</v>
      </c>
      <c r="FH89" s="196"/>
      <c r="FI89" s="196"/>
      <c r="FJ89" s="196"/>
      <c r="FK89" s="196"/>
      <c r="FL89" s="196"/>
      <c r="FM89" s="196"/>
      <c r="FN89" s="196"/>
      <c r="FO89" s="196"/>
      <c r="FP89" s="196"/>
      <c r="FQ89" s="196"/>
      <c r="FR89" s="196"/>
      <c r="FS89" s="196"/>
      <c r="FT89" s="196"/>
      <c r="FU89" s="196"/>
      <c r="FV89" s="196"/>
      <c r="FW89" s="196"/>
      <c r="FX89" s="196"/>
      <c r="FY89" s="196"/>
      <c r="FZ89" s="196"/>
      <c r="GA89" s="196"/>
      <c r="GB89" s="196"/>
      <c r="GC89" s="196"/>
      <c r="GD89" s="196"/>
      <c r="GE89" s="196"/>
      <c r="GF89" s="196"/>
      <c r="GG89" s="196"/>
      <c r="GH89" s="196"/>
      <c r="GI89" s="196"/>
      <c r="GJ89" s="196"/>
    </row>
    <row r="90" s="13" customFormat="true" ht="15.75" hidden="false" customHeight="true" outlineLevel="0" collapsed="false">
      <c r="A90" s="13" t="s">
        <v>379</v>
      </c>
      <c r="FH90" s="196"/>
      <c r="FI90" s="196"/>
      <c r="FJ90" s="196"/>
      <c r="FK90" s="196"/>
      <c r="FL90" s="196"/>
      <c r="FM90" s="196"/>
      <c r="FN90" s="196"/>
      <c r="FO90" s="196"/>
      <c r="FP90" s="196"/>
      <c r="FQ90" s="196"/>
      <c r="FR90" s="196"/>
      <c r="FS90" s="196"/>
      <c r="FT90" s="196"/>
      <c r="FU90" s="196"/>
      <c r="FV90" s="196"/>
      <c r="FW90" s="196"/>
      <c r="FX90" s="196"/>
      <c r="FY90" s="196"/>
      <c r="FZ90" s="196"/>
      <c r="GA90" s="196"/>
      <c r="GB90" s="196"/>
      <c r="GC90" s="196"/>
      <c r="GD90" s="196"/>
      <c r="GE90" s="196"/>
      <c r="GF90" s="196"/>
      <c r="GG90" s="196"/>
      <c r="GH90" s="196"/>
      <c r="GI90" s="196"/>
      <c r="GJ90" s="196"/>
    </row>
    <row r="91" s="13" customFormat="true" ht="15.75" hidden="false" customHeight="true" outlineLevel="0" collapsed="false">
      <c r="A91" s="13" t="s">
        <v>382</v>
      </c>
      <c r="FH91" s="196"/>
      <c r="FI91" s="196"/>
      <c r="FJ91" s="196"/>
      <c r="FK91" s="196"/>
      <c r="FL91" s="196"/>
      <c r="FM91" s="196"/>
      <c r="FN91" s="196"/>
      <c r="FO91" s="196"/>
      <c r="FP91" s="196"/>
      <c r="FQ91" s="196"/>
      <c r="FR91" s="196"/>
      <c r="FS91" s="196"/>
      <c r="FT91" s="196"/>
      <c r="FU91" s="196"/>
      <c r="FV91" s="196"/>
      <c r="FW91" s="196"/>
      <c r="FX91" s="196"/>
      <c r="FY91" s="196"/>
      <c r="FZ91" s="196"/>
      <c r="GA91" s="196"/>
      <c r="GB91" s="196"/>
      <c r="GC91" s="196"/>
      <c r="GD91" s="196"/>
      <c r="GE91" s="196"/>
      <c r="GF91" s="196"/>
      <c r="GG91" s="196"/>
      <c r="GH91" s="196"/>
      <c r="GI91" s="196"/>
      <c r="GJ91" s="196"/>
    </row>
    <row r="92" s="13" customFormat="true" ht="15.75" hidden="false" customHeight="true" outlineLevel="0" collapsed="false">
      <c r="A92" s="13" t="s">
        <v>385</v>
      </c>
      <c r="FH92" s="196"/>
      <c r="FI92" s="196"/>
      <c r="FJ92" s="196"/>
      <c r="FK92" s="196"/>
      <c r="FL92" s="196"/>
      <c r="FM92" s="196"/>
      <c r="FN92" s="196"/>
      <c r="FO92" s="196"/>
      <c r="FP92" s="196"/>
      <c r="FQ92" s="196"/>
      <c r="FR92" s="196"/>
      <c r="FS92" s="196"/>
      <c r="FT92" s="196"/>
      <c r="FU92" s="196"/>
      <c r="FV92" s="196"/>
      <c r="FW92" s="196"/>
      <c r="FX92" s="196"/>
      <c r="FY92" s="196"/>
      <c r="FZ92" s="196"/>
      <c r="GA92" s="196"/>
      <c r="GB92" s="196"/>
      <c r="GC92" s="196"/>
      <c r="GD92" s="196"/>
      <c r="GE92" s="196"/>
      <c r="GF92" s="196"/>
      <c r="GG92" s="196"/>
      <c r="GH92" s="196"/>
      <c r="GI92" s="196"/>
      <c r="GJ92" s="196"/>
    </row>
    <row r="93" s="13" customFormat="true" ht="15.75" hidden="false" customHeight="true" outlineLevel="0" collapsed="false">
      <c r="A93" s="13" t="s">
        <v>388</v>
      </c>
      <c r="FH93" s="196"/>
      <c r="FI93" s="196"/>
      <c r="FJ93" s="196"/>
      <c r="FK93" s="196"/>
      <c r="FL93" s="196"/>
      <c r="FM93" s="196"/>
      <c r="FN93" s="196"/>
      <c r="FO93" s="196"/>
      <c r="FP93" s="196"/>
      <c r="FQ93" s="196"/>
      <c r="FR93" s="196"/>
      <c r="FS93" s="196"/>
      <c r="FT93" s="196"/>
      <c r="FU93" s="196"/>
      <c r="FV93" s="196"/>
      <c r="FW93" s="196"/>
      <c r="FX93" s="196"/>
      <c r="FY93" s="196"/>
      <c r="FZ93" s="196"/>
      <c r="GA93" s="196"/>
      <c r="GB93" s="196"/>
      <c r="GC93" s="196"/>
      <c r="GD93" s="196"/>
      <c r="GE93" s="196"/>
      <c r="GF93" s="196"/>
      <c r="GG93" s="196"/>
      <c r="GH93" s="196"/>
      <c r="GI93" s="196"/>
      <c r="GJ93" s="196"/>
    </row>
    <row r="94" s="13" customFormat="true" ht="15.75" hidden="false" customHeight="true" outlineLevel="0" collapsed="false">
      <c r="A94" s="13" t="s">
        <v>391</v>
      </c>
      <c r="FH94" s="196"/>
      <c r="FI94" s="196"/>
      <c r="FJ94" s="196"/>
      <c r="FK94" s="196"/>
      <c r="FL94" s="196"/>
      <c r="FM94" s="196"/>
      <c r="FN94" s="196"/>
      <c r="FO94" s="196"/>
      <c r="FP94" s="196"/>
      <c r="FQ94" s="196"/>
      <c r="FR94" s="196"/>
      <c r="FS94" s="196"/>
      <c r="FT94" s="196"/>
      <c r="FU94" s="196"/>
      <c r="FV94" s="196"/>
      <c r="FW94" s="196"/>
      <c r="FX94" s="196"/>
      <c r="FY94" s="196"/>
      <c r="FZ94" s="196"/>
      <c r="GA94" s="196"/>
      <c r="GB94" s="196"/>
      <c r="GC94" s="196"/>
      <c r="GD94" s="196"/>
      <c r="GE94" s="196"/>
      <c r="GF94" s="196"/>
      <c r="GG94" s="196"/>
      <c r="GH94" s="196"/>
      <c r="GI94" s="196"/>
      <c r="GJ94" s="196"/>
    </row>
    <row r="95" s="13" customFormat="true" ht="15.75" hidden="false" customHeight="true" outlineLevel="0" collapsed="false">
      <c r="A95" s="13" t="s">
        <v>394</v>
      </c>
      <c r="FH95" s="196"/>
      <c r="FI95" s="196"/>
      <c r="FJ95" s="196"/>
      <c r="FK95" s="196"/>
      <c r="FL95" s="196"/>
      <c r="FM95" s="196"/>
      <c r="FN95" s="196"/>
      <c r="FO95" s="196"/>
      <c r="FP95" s="196"/>
      <c r="FQ95" s="196"/>
      <c r="FR95" s="196"/>
      <c r="FS95" s="196"/>
      <c r="FT95" s="196"/>
      <c r="FU95" s="196"/>
      <c r="FV95" s="196"/>
      <c r="FW95" s="196"/>
      <c r="FX95" s="196"/>
      <c r="FY95" s="196"/>
      <c r="FZ95" s="196"/>
      <c r="GA95" s="196"/>
      <c r="GB95" s="196"/>
      <c r="GC95" s="196"/>
      <c r="GD95" s="196"/>
      <c r="GE95" s="196"/>
      <c r="GF95" s="196"/>
      <c r="GG95" s="196"/>
      <c r="GH95" s="196"/>
      <c r="GI95" s="196"/>
      <c r="GJ95" s="196"/>
    </row>
    <row r="96" s="13" customFormat="true" ht="15.75" hidden="false" customHeight="true" outlineLevel="0" collapsed="false">
      <c r="A96" s="13" t="s">
        <v>396</v>
      </c>
      <c r="FH96" s="196"/>
      <c r="FI96" s="196"/>
      <c r="FJ96" s="196"/>
      <c r="FK96" s="196"/>
      <c r="FL96" s="196"/>
      <c r="FM96" s="196"/>
      <c r="FN96" s="196"/>
      <c r="FO96" s="196"/>
      <c r="FP96" s="196"/>
      <c r="FQ96" s="196"/>
      <c r="FR96" s="196"/>
      <c r="FS96" s="196"/>
      <c r="FT96" s="196"/>
      <c r="FU96" s="196"/>
      <c r="FV96" s="196"/>
      <c r="FW96" s="196"/>
      <c r="FX96" s="196"/>
      <c r="FY96" s="196"/>
      <c r="FZ96" s="196"/>
      <c r="GA96" s="196"/>
      <c r="GB96" s="196"/>
      <c r="GC96" s="196"/>
      <c r="GD96" s="196"/>
      <c r="GE96" s="196"/>
      <c r="GF96" s="196"/>
      <c r="GG96" s="196"/>
      <c r="GH96" s="196"/>
      <c r="GI96" s="196"/>
      <c r="GJ96" s="196"/>
    </row>
    <row r="97" s="13" customFormat="true" ht="15.75" hidden="false" customHeight="true" outlineLevel="0" collapsed="false">
      <c r="A97" s="13" t="s">
        <v>398</v>
      </c>
      <c r="FH97" s="196"/>
      <c r="FI97" s="196"/>
      <c r="FJ97" s="196"/>
      <c r="FK97" s="196"/>
      <c r="FL97" s="196"/>
      <c r="FM97" s="196"/>
      <c r="FN97" s="196"/>
      <c r="FO97" s="196"/>
      <c r="FP97" s="196"/>
      <c r="FQ97" s="196"/>
      <c r="FR97" s="196"/>
      <c r="FS97" s="196"/>
      <c r="FT97" s="196"/>
      <c r="FU97" s="196"/>
      <c r="FV97" s="196"/>
      <c r="FW97" s="196"/>
      <c r="FX97" s="196"/>
      <c r="FY97" s="196"/>
      <c r="FZ97" s="196"/>
      <c r="GA97" s="196"/>
      <c r="GB97" s="196"/>
      <c r="GC97" s="196"/>
      <c r="GD97" s="196"/>
      <c r="GE97" s="196"/>
      <c r="GF97" s="196"/>
      <c r="GG97" s="196"/>
      <c r="GH97" s="196"/>
      <c r="GI97" s="196"/>
      <c r="GJ97" s="196"/>
    </row>
    <row r="98" s="13" customFormat="true" ht="15.75" hidden="false" customHeight="true" outlineLevel="0" collapsed="false">
      <c r="A98" s="13" t="s">
        <v>399</v>
      </c>
      <c r="FH98" s="196"/>
      <c r="FI98" s="196"/>
      <c r="FJ98" s="196"/>
      <c r="FK98" s="196"/>
      <c r="FL98" s="196"/>
      <c r="FM98" s="196"/>
      <c r="FN98" s="196"/>
      <c r="FO98" s="196"/>
      <c r="FP98" s="196"/>
      <c r="FQ98" s="196"/>
      <c r="FR98" s="196"/>
      <c r="FS98" s="196"/>
      <c r="FT98" s="196"/>
      <c r="FU98" s="196"/>
      <c r="FV98" s="196"/>
      <c r="FW98" s="196"/>
      <c r="FX98" s="196"/>
      <c r="FY98" s="196"/>
      <c r="FZ98" s="196"/>
      <c r="GA98" s="196"/>
      <c r="GB98" s="196"/>
      <c r="GC98" s="196"/>
      <c r="GD98" s="196"/>
      <c r="GE98" s="196"/>
      <c r="GF98" s="196"/>
      <c r="GG98" s="196"/>
      <c r="GH98" s="196"/>
      <c r="GI98" s="196"/>
      <c r="GJ98" s="196"/>
    </row>
    <row r="99" s="13" customFormat="true" ht="15.75" hidden="false" customHeight="true" outlineLevel="0" collapsed="false">
      <c r="A99" s="13" t="s">
        <v>400</v>
      </c>
      <c r="FH99" s="196"/>
      <c r="FI99" s="196"/>
      <c r="FJ99" s="196"/>
      <c r="FK99" s="196"/>
      <c r="FL99" s="196"/>
      <c r="FM99" s="196"/>
      <c r="FN99" s="196"/>
      <c r="FO99" s="196"/>
      <c r="FP99" s="196"/>
      <c r="FQ99" s="196"/>
      <c r="FR99" s="196"/>
      <c r="FS99" s="196"/>
      <c r="FT99" s="196"/>
      <c r="FU99" s="196"/>
      <c r="FV99" s="196"/>
      <c r="FW99" s="196"/>
      <c r="FX99" s="196"/>
      <c r="FY99" s="196"/>
      <c r="FZ99" s="196"/>
      <c r="GA99" s="196"/>
      <c r="GB99" s="196"/>
      <c r="GC99" s="196"/>
      <c r="GD99" s="196"/>
      <c r="GE99" s="196"/>
      <c r="GF99" s="196"/>
      <c r="GG99" s="196"/>
      <c r="GH99" s="196"/>
      <c r="GI99" s="196"/>
      <c r="GJ99" s="196"/>
    </row>
    <row r="100" s="13" customFormat="true" ht="15.75" hidden="false" customHeight="true" outlineLevel="0" collapsed="false">
      <c r="A100" s="13" t="s">
        <v>401</v>
      </c>
      <c r="B100" s="221"/>
      <c r="C100" s="221"/>
      <c r="D100" s="221"/>
      <c r="E100" s="221"/>
      <c r="F100" s="221"/>
      <c r="G100" s="221"/>
      <c r="H100" s="221"/>
      <c r="I100" s="221"/>
      <c r="J100" s="221"/>
      <c r="K100" s="221"/>
      <c r="L100" s="221"/>
      <c r="M100" s="221"/>
      <c r="N100" s="221"/>
      <c r="O100" s="221"/>
      <c r="P100" s="221"/>
      <c r="Q100" s="221"/>
      <c r="R100" s="221"/>
      <c r="S100" s="221"/>
      <c r="T100" s="221"/>
      <c r="U100" s="221"/>
      <c r="V100" s="221"/>
      <c r="W100" s="221"/>
      <c r="X100" s="221"/>
      <c r="Y100" s="221"/>
      <c r="Z100" s="221"/>
      <c r="AA100" s="221"/>
      <c r="AB100" s="221"/>
      <c r="AC100" s="221"/>
      <c r="AD100" s="221"/>
      <c r="AE100" s="221"/>
      <c r="AF100" s="221"/>
      <c r="AG100" s="221"/>
      <c r="AH100" s="221"/>
      <c r="AI100" s="221"/>
      <c r="AJ100" s="221"/>
      <c r="AK100" s="221"/>
      <c r="AL100" s="221"/>
      <c r="AM100" s="221"/>
      <c r="AN100" s="221"/>
      <c r="AO100" s="221"/>
      <c r="AP100" s="221"/>
      <c r="AQ100" s="221"/>
      <c r="AR100" s="221"/>
      <c r="AS100" s="221"/>
      <c r="AT100" s="221"/>
      <c r="AU100" s="221"/>
      <c r="AV100" s="221"/>
      <c r="AW100" s="221"/>
      <c r="AX100" s="221"/>
      <c r="AY100" s="221"/>
      <c r="AZ100" s="221"/>
      <c r="BA100" s="221"/>
      <c r="BB100" s="221"/>
      <c r="BC100" s="221"/>
      <c r="BD100" s="221"/>
      <c r="BE100" s="221"/>
      <c r="BF100" s="221"/>
      <c r="BG100" s="221"/>
      <c r="BH100" s="221"/>
      <c r="BI100" s="221"/>
      <c r="BJ100" s="221"/>
      <c r="BK100" s="221"/>
      <c r="BL100" s="221"/>
      <c r="BM100" s="221"/>
      <c r="BN100" s="221"/>
      <c r="BO100" s="221"/>
      <c r="BP100" s="221"/>
      <c r="BQ100" s="221"/>
      <c r="BR100" s="221"/>
      <c r="BS100" s="221"/>
      <c r="BT100" s="221"/>
      <c r="BU100" s="221"/>
      <c r="BV100" s="221"/>
      <c r="BW100" s="221"/>
      <c r="BX100" s="221"/>
      <c r="BY100" s="221"/>
      <c r="BZ100" s="221"/>
      <c r="CA100" s="221"/>
      <c r="CB100" s="221"/>
      <c r="CC100" s="221"/>
      <c r="CD100" s="221"/>
      <c r="CE100" s="221"/>
      <c r="CF100" s="221"/>
      <c r="CG100" s="221"/>
      <c r="CH100" s="221"/>
      <c r="CI100" s="221"/>
      <c r="CJ100" s="221"/>
      <c r="CK100" s="221"/>
      <c r="CL100" s="221"/>
      <c r="CM100" s="221"/>
      <c r="CN100" s="221"/>
      <c r="CO100" s="221"/>
      <c r="CP100" s="221"/>
      <c r="CQ100" s="221"/>
      <c r="CR100" s="221"/>
      <c r="CS100" s="221"/>
      <c r="CT100" s="221"/>
      <c r="CU100" s="221"/>
      <c r="CV100" s="221"/>
      <c r="CW100" s="221"/>
      <c r="CX100" s="221"/>
      <c r="CY100" s="221"/>
      <c r="CZ100" s="221"/>
      <c r="DA100" s="221"/>
      <c r="DB100" s="221"/>
      <c r="DC100" s="221"/>
      <c r="DD100" s="221"/>
      <c r="DE100" s="221"/>
      <c r="DF100" s="221"/>
      <c r="DG100" s="221"/>
      <c r="DH100" s="221"/>
      <c r="DI100" s="221"/>
      <c r="DJ100" s="221"/>
      <c r="DK100" s="221"/>
      <c r="DL100" s="221"/>
      <c r="DM100" s="221"/>
      <c r="DN100" s="221"/>
      <c r="DO100" s="221"/>
      <c r="DP100" s="221"/>
      <c r="DQ100" s="221"/>
      <c r="DR100" s="221"/>
      <c r="DS100" s="221"/>
      <c r="DT100" s="221"/>
      <c r="DU100" s="221"/>
      <c r="DV100" s="221"/>
      <c r="DW100" s="221"/>
      <c r="DX100" s="221"/>
      <c r="DY100" s="221"/>
      <c r="DZ100" s="221"/>
      <c r="EA100" s="221"/>
      <c r="EB100" s="221"/>
      <c r="EC100" s="221"/>
      <c r="ED100" s="221"/>
      <c r="EE100" s="221"/>
      <c r="EF100" s="221"/>
      <c r="EG100" s="221"/>
      <c r="EH100" s="221"/>
      <c r="EI100" s="221"/>
      <c r="EJ100" s="221"/>
      <c r="EK100" s="221"/>
      <c r="EL100" s="221"/>
      <c r="EM100" s="221"/>
      <c r="EN100" s="221"/>
      <c r="EO100" s="221"/>
      <c r="EP100" s="221"/>
      <c r="EQ100" s="221"/>
      <c r="ER100" s="221"/>
      <c r="ES100" s="221"/>
      <c r="ET100" s="221"/>
      <c r="EU100" s="221"/>
      <c r="EV100" s="221"/>
      <c r="EW100" s="221"/>
      <c r="EX100" s="221"/>
      <c r="EY100" s="221"/>
      <c r="EZ100" s="221"/>
      <c r="FA100" s="221"/>
      <c r="FB100" s="221"/>
      <c r="FC100" s="221"/>
      <c r="FD100" s="221"/>
      <c r="FE100" s="221"/>
      <c r="FF100" s="221"/>
      <c r="FG100" s="221"/>
      <c r="FH100" s="196"/>
      <c r="FI100" s="196"/>
      <c r="FJ100" s="196"/>
      <c r="FK100" s="196"/>
      <c r="FL100" s="196"/>
      <c r="FM100" s="196"/>
      <c r="FN100" s="196"/>
      <c r="FO100" s="196"/>
      <c r="FP100" s="196"/>
      <c r="FQ100" s="196"/>
      <c r="FR100" s="196"/>
      <c r="FS100" s="196"/>
      <c r="FT100" s="196"/>
      <c r="FU100" s="196"/>
      <c r="FV100" s="196"/>
      <c r="FW100" s="196"/>
      <c r="FX100" s="196"/>
      <c r="FY100" s="196"/>
      <c r="FZ100" s="196"/>
      <c r="GA100" s="196"/>
      <c r="GB100" s="222"/>
      <c r="GC100" s="222"/>
      <c r="GD100" s="222"/>
      <c r="GE100" s="222"/>
      <c r="GF100" s="222"/>
      <c r="GG100" s="222"/>
      <c r="GH100" s="222"/>
      <c r="GI100" s="222"/>
      <c r="GJ100" s="222"/>
      <c r="GK100" s="221"/>
      <c r="GL100" s="221"/>
      <c r="GM100" s="221"/>
      <c r="GN100" s="221"/>
      <c r="GO100" s="221"/>
      <c r="GP100" s="221"/>
      <c r="GQ100" s="221"/>
      <c r="GR100" s="221"/>
      <c r="GS100" s="221"/>
      <c r="GT100" s="221"/>
      <c r="GU100" s="221"/>
      <c r="GV100" s="221"/>
      <c r="GW100" s="221"/>
      <c r="GX100" s="221"/>
      <c r="GY100" s="221"/>
      <c r="GZ100" s="221"/>
      <c r="HA100" s="221"/>
      <c r="HB100" s="221"/>
      <c r="HC100" s="221"/>
      <c r="HD100" s="221"/>
      <c r="HE100" s="221"/>
      <c r="HF100" s="221"/>
    </row>
    <row r="101" customFormat="false" ht="15.75" hidden="false" customHeight="true" outlineLevel="0" collapsed="false">
      <c r="A101" s="170" t="s">
        <v>402</v>
      </c>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3"/>
      <c r="CH101" s="13"/>
      <c r="CI101" s="13"/>
      <c r="CJ101" s="13"/>
      <c r="CK101" s="13"/>
      <c r="CL101" s="13"/>
      <c r="CM101" s="13"/>
      <c r="CN101" s="13"/>
      <c r="CO101" s="13"/>
      <c r="CP101" s="13"/>
      <c r="CQ101" s="13"/>
      <c r="CR101" s="13"/>
      <c r="CS101" s="13"/>
      <c r="CT101" s="13"/>
      <c r="CU101" s="13"/>
      <c r="CV101" s="13"/>
      <c r="CW101" s="13"/>
      <c r="CX101" s="13"/>
      <c r="CY101" s="13"/>
      <c r="CZ101" s="13"/>
      <c r="DA101" s="13"/>
      <c r="DB101" s="13"/>
      <c r="DC101" s="13"/>
      <c r="DD101" s="13"/>
      <c r="DE101" s="13"/>
      <c r="DF101" s="13"/>
      <c r="DG101" s="13"/>
      <c r="DH101" s="13"/>
      <c r="DI101" s="13"/>
      <c r="DJ101" s="13"/>
      <c r="DK101" s="13"/>
      <c r="DL101" s="13"/>
      <c r="DM101" s="13"/>
      <c r="DN101" s="13"/>
      <c r="DO101" s="13"/>
      <c r="DP101" s="13"/>
      <c r="DQ101" s="13"/>
      <c r="DR101" s="13"/>
      <c r="DS101" s="13"/>
      <c r="DT101" s="13"/>
      <c r="DU101" s="13"/>
      <c r="DV101" s="13"/>
      <c r="DW101" s="13"/>
      <c r="DX101" s="13"/>
      <c r="DY101" s="13"/>
      <c r="DZ101" s="13"/>
      <c r="EA101" s="13"/>
      <c r="EB101" s="13"/>
      <c r="EC101" s="13"/>
      <c r="ED101" s="13"/>
      <c r="EE101" s="13"/>
      <c r="EF101" s="13"/>
      <c r="EG101" s="13"/>
      <c r="EH101" s="13"/>
      <c r="EI101" s="13"/>
      <c r="EJ101" s="13"/>
      <c r="EK101" s="13"/>
      <c r="EL101" s="13"/>
      <c r="EM101" s="13"/>
      <c r="EN101" s="13"/>
      <c r="EO101" s="13"/>
      <c r="EP101" s="13"/>
      <c r="EQ101" s="13"/>
      <c r="ER101" s="13"/>
      <c r="ES101" s="13"/>
      <c r="ET101" s="13"/>
      <c r="EU101" s="13"/>
      <c r="EV101" s="13"/>
      <c r="EW101" s="13"/>
      <c r="EX101" s="13"/>
      <c r="EY101" s="13"/>
      <c r="EZ101" s="13"/>
      <c r="FA101" s="13"/>
      <c r="FB101" s="13"/>
      <c r="FC101" s="13"/>
      <c r="FD101" s="13"/>
      <c r="FE101" s="13"/>
      <c r="FF101" s="13"/>
      <c r="FG101" s="13"/>
      <c r="FH101" s="196"/>
      <c r="FI101" s="196"/>
      <c r="FJ101" s="196"/>
      <c r="FK101" s="196"/>
      <c r="FL101" s="196"/>
      <c r="FM101" s="196"/>
      <c r="FN101" s="196"/>
      <c r="FO101" s="196"/>
      <c r="FP101" s="196"/>
      <c r="FQ101" s="196"/>
      <c r="FR101" s="196"/>
      <c r="FS101" s="196"/>
      <c r="FT101" s="196"/>
      <c r="FU101" s="196"/>
      <c r="FV101" s="196"/>
      <c r="FW101" s="196"/>
      <c r="FX101" s="196"/>
      <c r="FY101" s="196"/>
      <c r="FZ101" s="196"/>
      <c r="GA101" s="196"/>
      <c r="GB101" s="196"/>
      <c r="GC101" s="196"/>
      <c r="GD101" s="196"/>
      <c r="GE101" s="196"/>
      <c r="GF101" s="196"/>
      <c r="GG101" s="196"/>
      <c r="GH101" s="196"/>
      <c r="GI101" s="196"/>
      <c r="GJ101" s="196"/>
      <c r="GK101" s="13"/>
      <c r="GL101" s="13"/>
      <c r="GM101" s="13"/>
      <c r="GN101" s="13"/>
      <c r="GO101" s="13"/>
      <c r="GP101" s="13"/>
      <c r="GQ101" s="13"/>
      <c r="GR101" s="13"/>
      <c r="GS101" s="13"/>
      <c r="GT101" s="13"/>
      <c r="GU101" s="13"/>
      <c r="GV101" s="13"/>
      <c r="GW101" s="13"/>
      <c r="GX101" s="13"/>
      <c r="GY101" s="13"/>
      <c r="GZ101" s="13"/>
      <c r="HA101" s="13"/>
      <c r="HB101" s="13"/>
      <c r="HC101" s="13"/>
      <c r="HD101" s="13"/>
      <c r="HE101" s="13"/>
      <c r="HF101" s="13"/>
    </row>
    <row r="102" customFormat="false" ht="15.75" hidden="false" customHeight="true" outlineLevel="0" collapsed="false">
      <c r="A102" s="170" t="s">
        <v>403</v>
      </c>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c r="CM102" s="13"/>
      <c r="CN102" s="13"/>
      <c r="CO102" s="13"/>
      <c r="CP102" s="13"/>
      <c r="CQ102" s="13"/>
      <c r="CR102" s="13"/>
      <c r="CS102" s="13"/>
      <c r="CT102" s="13"/>
      <c r="CU102" s="13"/>
      <c r="CV102" s="13"/>
      <c r="CW102" s="13"/>
      <c r="CX102" s="13"/>
      <c r="CY102" s="13"/>
      <c r="CZ102" s="13"/>
      <c r="DA102" s="13"/>
      <c r="DB102" s="13"/>
      <c r="DC102" s="13"/>
      <c r="DD102" s="13"/>
      <c r="DE102" s="13"/>
      <c r="DF102" s="13"/>
      <c r="DG102" s="13"/>
      <c r="DH102" s="13"/>
      <c r="DI102" s="13"/>
      <c r="DJ102" s="13"/>
      <c r="DK102" s="13"/>
      <c r="DL102" s="13"/>
      <c r="DM102" s="13"/>
      <c r="DN102" s="13"/>
      <c r="DO102" s="13"/>
      <c r="DP102" s="13"/>
      <c r="DQ102" s="13"/>
      <c r="DR102" s="13"/>
      <c r="DS102" s="13"/>
      <c r="DT102" s="13"/>
      <c r="DU102" s="13"/>
      <c r="DV102" s="13"/>
      <c r="DW102" s="13"/>
      <c r="DX102" s="13"/>
      <c r="DY102" s="13"/>
      <c r="DZ102" s="13"/>
      <c r="EA102" s="13"/>
      <c r="EB102" s="13"/>
      <c r="EC102" s="13"/>
      <c r="ED102" s="13"/>
      <c r="EE102" s="13"/>
      <c r="EF102" s="13"/>
      <c r="EG102" s="13"/>
      <c r="EH102" s="13"/>
      <c r="EI102" s="13"/>
      <c r="EJ102" s="13"/>
      <c r="EK102" s="13"/>
      <c r="EL102" s="13"/>
      <c r="EM102" s="13"/>
      <c r="EN102" s="13"/>
      <c r="EO102" s="13"/>
      <c r="EP102" s="13"/>
      <c r="EQ102" s="13"/>
      <c r="ER102" s="13"/>
      <c r="ES102" s="13"/>
      <c r="ET102" s="13"/>
      <c r="EU102" s="13"/>
      <c r="EV102" s="13"/>
      <c r="EW102" s="13"/>
      <c r="EX102" s="13"/>
      <c r="EY102" s="13"/>
      <c r="EZ102" s="13"/>
      <c r="FA102" s="13"/>
      <c r="FB102" s="13"/>
      <c r="FC102" s="13"/>
      <c r="FD102" s="13"/>
      <c r="FE102" s="13"/>
      <c r="FF102" s="13"/>
      <c r="FG102" s="13"/>
      <c r="FH102" s="196"/>
      <c r="FI102" s="196"/>
      <c r="FJ102" s="196"/>
      <c r="FK102" s="196"/>
      <c r="FL102" s="196"/>
      <c r="FM102" s="196"/>
      <c r="FN102" s="196"/>
      <c r="FO102" s="196"/>
      <c r="FP102" s="196"/>
      <c r="FQ102" s="196"/>
      <c r="FR102" s="196"/>
      <c r="FS102" s="196"/>
      <c r="FT102" s="196"/>
      <c r="FU102" s="196"/>
      <c r="FV102" s="196"/>
      <c r="FW102" s="196"/>
      <c r="FX102" s="196"/>
      <c r="FY102" s="196"/>
      <c r="FZ102" s="196"/>
      <c r="GA102" s="196"/>
      <c r="GB102" s="196"/>
      <c r="GC102" s="196"/>
      <c r="GD102" s="196"/>
      <c r="GE102" s="196"/>
      <c r="GF102" s="196"/>
      <c r="GG102" s="196"/>
      <c r="GH102" s="196"/>
      <c r="GI102" s="196"/>
      <c r="GJ102" s="196"/>
      <c r="GK102" s="13"/>
      <c r="GL102" s="13"/>
      <c r="GM102" s="13"/>
      <c r="GN102" s="13"/>
      <c r="GO102" s="13"/>
      <c r="GP102" s="13"/>
      <c r="GQ102" s="13"/>
      <c r="GR102" s="13"/>
      <c r="GS102" s="13"/>
      <c r="GT102" s="13"/>
      <c r="GU102" s="13"/>
      <c r="GV102" s="13"/>
      <c r="GW102" s="13"/>
      <c r="GX102" s="13"/>
      <c r="GY102" s="13"/>
      <c r="GZ102" s="13"/>
      <c r="HA102" s="13"/>
      <c r="HB102" s="13"/>
      <c r="HC102" s="13"/>
      <c r="HD102" s="13"/>
      <c r="HE102" s="13"/>
      <c r="HF102" s="13"/>
    </row>
    <row r="103" customFormat="false" ht="15.75" hidden="false" customHeight="true" outlineLevel="0" collapsed="false">
      <c r="A103" s="170" t="s">
        <v>404</v>
      </c>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c r="CM103" s="13"/>
      <c r="CN103" s="13"/>
      <c r="CO103" s="13"/>
      <c r="CP103" s="13"/>
      <c r="CQ103" s="13"/>
      <c r="CR103" s="13"/>
      <c r="CS103" s="13"/>
      <c r="CT103" s="13"/>
      <c r="CU103" s="13"/>
      <c r="CV103" s="13"/>
      <c r="CW103" s="13"/>
      <c r="CX103" s="13"/>
      <c r="CY103" s="13"/>
      <c r="CZ103" s="13"/>
      <c r="DA103" s="13"/>
      <c r="DB103" s="13"/>
      <c r="DC103" s="13"/>
      <c r="DD103" s="13"/>
      <c r="DE103" s="13"/>
      <c r="DF103" s="13"/>
      <c r="DG103" s="13"/>
      <c r="DH103" s="13"/>
      <c r="DI103" s="13"/>
      <c r="DJ103" s="13"/>
      <c r="DK103" s="13"/>
      <c r="DL103" s="13"/>
      <c r="DM103" s="13"/>
      <c r="DN103" s="13"/>
      <c r="DO103" s="13"/>
      <c r="DP103" s="13"/>
      <c r="DQ103" s="13"/>
      <c r="DR103" s="13"/>
      <c r="DS103" s="13"/>
      <c r="DT103" s="13"/>
      <c r="DU103" s="13"/>
      <c r="DV103" s="13"/>
      <c r="DW103" s="13"/>
      <c r="DX103" s="13"/>
      <c r="DY103" s="13"/>
      <c r="DZ103" s="13"/>
      <c r="EA103" s="13"/>
      <c r="EB103" s="13"/>
      <c r="EC103" s="13"/>
      <c r="ED103" s="13"/>
      <c r="EE103" s="13"/>
      <c r="EF103" s="13"/>
      <c r="EG103" s="13"/>
      <c r="EH103" s="13"/>
      <c r="EI103" s="13"/>
      <c r="EJ103" s="13"/>
      <c r="EK103" s="13"/>
      <c r="EL103" s="13"/>
      <c r="EM103" s="13"/>
      <c r="EN103" s="13"/>
      <c r="EO103" s="13"/>
      <c r="EP103" s="13"/>
      <c r="EQ103" s="13"/>
      <c r="ER103" s="13"/>
      <c r="ES103" s="13"/>
      <c r="ET103" s="13"/>
      <c r="EU103" s="13"/>
      <c r="EV103" s="13"/>
      <c r="EW103" s="13"/>
      <c r="EX103" s="13"/>
      <c r="EY103" s="13"/>
      <c r="EZ103" s="13"/>
      <c r="FA103" s="13"/>
      <c r="FB103" s="13"/>
      <c r="FC103" s="13"/>
      <c r="FD103" s="13"/>
      <c r="FE103" s="13"/>
      <c r="FF103" s="13"/>
      <c r="FG103" s="13"/>
      <c r="FH103" s="196"/>
      <c r="FI103" s="196"/>
      <c r="FJ103" s="196"/>
      <c r="FK103" s="196"/>
      <c r="FL103" s="196"/>
      <c r="FM103" s="196"/>
      <c r="FN103" s="196"/>
      <c r="FO103" s="196"/>
      <c r="FP103" s="196"/>
      <c r="FQ103" s="196"/>
      <c r="FR103" s="196"/>
      <c r="FS103" s="196"/>
      <c r="FT103" s="196"/>
      <c r="FU103" s="196"/>
      <c r="FV103" s="196"/>
      <c r="FW103" s="196"/>
      <c r="FX103" s="196"/>
      <c r="FY103" s="196"/>
      <c r="FZ103" s="196"/>
      <c r="GA103" s="196"/>
      <c r="GB103" s="196"/>
      <c r="GC103" s="196"/>
      <c r="GD103" s="196"/>
      <c r="GE103" s="196"/>
      <c r="GF103" s="196"/>
      <c r="GG103" s="196"/>
      <c r="GH103" s="196"/>
      <c r="GI103" s="196"/>
      <c r="GJ103" s="196"/>
      <c r="GK103" s="13"/>
      <c r="GL103" s="13"/>
      <c r="GM103" s="13"/>
      <c r="GN103" s="13"/>
      <c r="GO103" s="13"/>
      <c r="GP103" s="13"/>
      <c r="GQ103" s="13"/>
      <c r="GR103" s="13"/>
      <c r="GS103" s="13"/>
      <c r="GT103" s="13"/>
      <c r="GU103" s="13"/>
      <c r="GV103" s="13"/>
      <c r="GW103" s="13"/>
      <c r="GX103" s="13"/>
      <c r="GY103" s="13"/>
      <c r="GZ103" s="13"/>
      <c r="HA103" s="13"/>
      <c r="HB103" s="13"/>
      <c r="HC103" s="13"/>
      <c r="HD103" s="13"/>
      <c r="HE103" s="13"/>
      <c r="HF103" s="13"/>
    </row>
    <row r="104" customFormat="false" ht="15.75" hidden="false" customHeight="true" outlineLevel="0" collapsed="false">
      <c r="A104" s="170" t="s">
        <v>405</v>
      </c>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c r="CM104" s="13"/>
      <c r="CN104" s="13"/>
      <c r="CO104" s="13"/>
      <c r="CP104" s="13"/>
      <c r="CQ104" s="13"/>
      <c r="CR104" s="13"/>
      <c r="CS104" s="13"/>
      <c r="CT104" s="13"/>
      <c r="CU104" s="13"/>
      <c r="CV104" s="13"/>
      <c r="CW104" s="13"/>
      <c r="CX104" s="13"/>
      <c r="CY104" s="13"/>
      <c r="CZ104" s="13"/>
      <c r="DA104" s="13"/>
      <c r="DB104" s="13"/>
      <c r="DC104" s="13"/>
      <c r="DD104" s="13"/>
      <c r="DE104" s="13"/>
      <c r="DF104" s="13"/>
      <c r="DG104" s="13"/>
      <c r="DH104" s="13"/>
      <c r="DI104" s="13"/>
      <c r="DJ104" s="13"/>
      <c r="DK104" s="13"/>
      <c r="DL104" s="13"/>
      <c r="DM104" s="13"/>
      <c r="DN104" s="13"/>
      <c r="DO104" s="13"/>
      <c r="DP104" s="13"/>
      <c r="DQ104" s="13"/>
      <c r="DR104" s="13"/>
      <c r="DS104" s="13"/>
      <c r="DT104" s="13"/>
      <c r="DU104" s="13"/>
      <c r="DV104" s="13"/>
      <c r="DW104" s="13"/>
      <c r="DX104" s="13"/>
      <c r="DY104" s="13"/>
      <c r="DZ104" s="13"/>
      <c r="EA104" s="13"/>
      <c r="EB104" s="13"/>
      <c r="EC104" s="13"/>
      <c r="ED104" s="13"/>
      <c r="EE104" s="13"/>
      <c r="EF104" s="13"/>
      <c r="EG104" s="13"/>
      <c r="EH104" s="13"/>
      <c r="EI104" s="13"/>
      <c r="EJ104" s="13"/>
      <c r="EK104" s="13"/>
      <c r="EL104" s="13"/>
      <c r="EM104" s="13"/>
      <c r="EN104" s="13"/>
      <c r="EO104" s="13"/>
      <c r="EP104" s="13"/>
      <c r="EQ104" s="13"/>
      <c r="ER104" s="13"/>
      <c r="ES104" s="13"/>
      <c r="ET104" s="13"/>
      <c r="EU104" s="13"/>
      <c r="EV104" s="13"/>
      <c r="EW104" s="13"/>
      <c r="EX104" s="13"/>
      <c r="EY104" s="13"/>
      <c r="EZ104" s="13"/>
      <c r="FA104" s="13"/>
      <c r="FB104" s="13"/>
      <c r="FC104" s="13"/>
      <c r="FD104" s="13"/>
      <c r="FE104" s="13"/>
      <c r="FF104" s="13"/>
      <c r="FG104" s="13"/>
      <c r="FH104" s="196"/>
      <c r="FI104" s="196"/>
      <c r="FJ104" s="196"/>
      <c r="FK104" s="196"/>
      <c r="FL104" s="196"/>
      <c r="FM104" s="196"/>
      <c r="FN104" s="196"/>
      <c r="FO104" s="196"/>
      <c r="FP104" s="196"/>
      <c r="FQ104" s="196"/>
      <c r="FR104" s="196"/>
      <c r="FS104" s="196"/>
      <c r="FT104" s="196"/>
      <c r="FU104" s="196"/>
      <c r="FV104" s="196"/>
      <c r="FW104" s="196"/>
      <c r="FX104" s="196"/>
      <c r="FY104" s="196"/>
      <c r="FZ104" s="196"/>
      <c r="GA104" s="196"/>
      <c r="GB104" s="196"/>
      <c r="GC104" s="196"/>
      <c r="GD104" s="196"/>
      <c r="GE104" s="196"/>
      <c r="GF104" s="196"/>
      <c r="GG104" s="196"/>
      <c r="GH104" s="196"/>
      <c r="GI104" s="196"/>
      <c r="GJ104" s="196"/>
      <c r="GK104" s="13"/>
      <c r="GL104" s="13"/>
      <c r="GM104" s="13"/>
      <c r="GN104" s="13"/>
      <c r="GO104" s="13"/>
      <c r="GP104" s="13"/>
      <c r="GQ104" s="13"/>
      <c r="GR104" s="13"/>
      <c r="GS104" s="13"/>
      <c r="GT104" s="13"/>
      <c r="GU104" s="13"/>
      <c r="GV104" s="13"/>
      <c r="GW104" s="13"/>
      <c r="GX104" s="13"/>
      <c r="GY104" s="13"/>
      <c r="GZ104" s="13"/>
      <c r="HA104" s="13"/>
      <c r="HB104" s="13"/>
      <c r="HC104" s="13"/>
      <c r="HD104" s="13"/>
      <c r="HE104" s="13"/>
      <c r="HF104" s="13"/>
    </row>
    <row r="105" customFormat="false" ht="15.75" hidden="false" customHeight="true" outlineLevel="0" collapsed="false">
      <c r="A105" s="170" t="s">
        <v>406</v>
      </c>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c r="CM105" s="13"/>
      <c r="CN105" s="13"/>
      <c r="CO105" s="13"/>
      <c r="CP105" s="13"/>
      <c r="CQ105" s="13"/>
      <c r="CR105" s="13"/>
      <c r="CS105" s="13"/>
      <c r="CT105" s="13"/>
      <c r="CU105" s="13"/>
      <c r="CV105" s="13"/>
      <c r="CW105" s="13"/>
      <c r="CX105" s="13"/>
      <c r="CY105" s="13"/>
      <c r="CZ105" s="13"/>
      <c r="DA105" s="13"/>
      <c r="DB105" s="13"/>
      <c r="DC105" s="13"/>
      <c r="DD105" s="13"/>
      <c r="DE105" s="13"/>
      <c r="DF105" s="13"/>
      <c r="DG105" s="13"/>
      <c r="DH105" s="13"/>
      <c r="DI105" s="13"/>
      <c r="DJ105" s="13"/>
      <c r="DK105" s="13"/>
      <c r="DL105" s="13"/>
      <c r="DM105" s="13"/>
      <c r="DN105" s="13"/>
      <c r="DO105" s="13"/>
      <c r="DP105" s="13"/>
      <c r="DQ105" s="13"/>
      <c r="DR105" s="13"/>
      <c r="DS105" s="13"/>
      <c r="DT105" s="13"/>
      <c r="DU105" s="13"/>
      <c r="DV105" s="13"/>
      <c r="DW105" s="13"/>
      <c r="DX105" s="13"/>
      <c r="DY105" s="13"/>
      <c r="DZ105" s="13"/>
      <c r="EA105" s="13"/>
      <c r="EB105" s="13"/>
      <c r="EC105" s="13"/>
      <c r="ED105" s="13"/>
      <c r="EE105" s="13"/>
      <c r="EF105" s="13"/>
      <c r="EG105" s="13"/>
      <c r="EH105" s="13"/>
      <c r="EI105" s="13"/>
      <c r="EJ105" s="13"/>
      <c r="EK105" s="13"/>
      <c r="EL105" s="13"/>
      <c r="EM105" s="13"/>
      <c r="EN105" s="13"/>
      <c r="EO105" s="13"/>
      <c r="EP105" s="13"/>
      <c r="EQ105" s="13"/>
      <c r="ER105" s="13"/>
      <c r="ES105" s="13"/>
      <c r="ET105" s="13"/>
      <c r="EU105" s="13"/>
      <c r="EV105" s="13"/>
      <c r="EW105" s="13"/>
      <c r="EX105" s="13"/>
      <c r="EY105" s="13"/>
      <c r="EZ105" s="13"/>
      <c r="FA105" s="13"/>
      <c r="FB105" s="13"/>
      <c r="FC105" s="13"/>
      <c r="FD105" s="13"/>
      <c r="FE105" s="13"/>
      <c r="FF105" s="13"/>
      <c r="FG105" s="13"/>
      <c r="FH105" s="196"/>
      <c r="FI105" s="196"/>
      <c r="FJ105" s="196"/>
      <c r="FK105" s="196"/>
      <c r="FL105" s="196"/>
      <c r="FM105" s="196"/>
      <c r="FN105" s="196"/>
      <c r="FO105" s="196"/>
      <c r="FP105" s="196"/>
      <c r="FQ105" s="196"/>
      <c r="FR105" s="196"/>
      <c r="FS105" s="196"/>
      <c r="FT105" s="196"/>
      <c r="FU105" s="196"/>
      <c r="FV105" s="196"/>
      <c r="FW105" s="196"/>
      <c r="FX105" s="196"/>
      <c r="FY105" s="196"/>
      <c r="FZ105" s="196"/>
      <c r="GA105" s="196"/>
      <c r="GB105" s="196"/>
      <c r="GC105" s="196"/>
      <c r="GD105" s="196"/>
      <c r="GE105" s="196"/>
      <c r="GF105" s="196"/>
      <c r="GG105" s="196"/>
      <c r="GH105" s="196"/>
      <c r="GI105" s="196"/>
      <c r="GJ105" s="196"/>
      <c r="GK105" s="13"/>
      <c r="GL105" s="13"/>
      <c r="GM105" s="13"/>
      <c r="GN105" s="13"/>
      <c r="GO105" s="13"/>
      <c r="GP105" s="13"/>
      <c r="GQ105" s="13"/>
      <c r="GR105" s="13"/>
      <c r="GS105" s="13"/>
      <c r="GT105" s="13"/>
      <c r="GU105" s="13"/>
      <c r="GV105" s="13"/>
      <c r="GW105" s="13"/>
      <c r="GX105" s="13"/>
      <c r="GY105" s="13"/>
      <c r="GZ105" s="13"/>
      <c r="HA105" s="13"/>
      <c r="HB105" s="13"/>
      <c r="HC105" s="13"/>
      <c r="HD105" s="13"/>
      <c r="HE105" s="13"/>
      <c r="HF105" s="13"/>
    </row>
    <row r="106" customFormat="false" ht="15.75" hidden="false" customHeight="true" outlineLevel="0" collapsed="false">
      <c r="A106" s="170" t="s">
        <v>407</v>
      </c>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c r="CM106" s="13"/>
      <c r="CN106" s="13"/>
      <c r="CO106" s="13"/>
      <c r="CP106" s="13"/>
      <c r="CQ106" s="13"/>
      <c r="CR106" s="13"/>
      <c r="CS106" s="13"/>
      <c r="CT106" s="13"/>
      <c r="CU106" s="13"/>
      <c r="CV106" s="13"/>
      <c r="CW106" s="13"/>
      <c r="CX106" s="13"/>
      <c r="CY106" s="13"/>
      <c r="CZ106" s="13"/>
      <c r="DA106" s="13"/>
      <c r="DB106" s="13"/>
      <c r="DC106" s="13"/>
      <c r="DD106" s="13"/>
      <c r="DE106" s="13"/>
      <c r="DF106" s="13"/>
      <c r="DG106" s="13"/>
      <c r="DH106" s="13"/>
      <c r="DI106" s="13"/>
      <c r="DJ106" s="13"/>
      <c r="DK106" s="13"/>
      <c r="DL106" s="13"/>
      <c r="DM106" s="13"/>
      <c r="DN106" s="13"/>
      <c r="DO106" s="13"/>
      <c r="DP106" s="13"/>
      <c r="DQ106" s="13"/>
      <c r="DR106" s="13"/>
      <c r="DS106" s="13"/>
      <c r="DT106" s="13"/>
      <c r="DU106" s="13"/>
      <c r="DV106" s="13"/>
      <c r="DW106" s="13"/>
      <c r="DX106" s="13"/>
      <c r="DY106" s="13"/>
      <c r="DZ106" s="13"/>
      <c r="EA106" s="13"/>
      <c r="EB106" s="13"/>
      <c r="EC106" s="13"/>
      <c r="ED106" s="13"/>
      <c r="EE106" s="13"/>
      <c r="EF106" s="13"/>
      <c r="EG106" s="13"/>
      <c r="EH106" s="13"/>
      <c r="EI106" s="13"/>
      <c r="EJ106" s="13"/>
      <c r="EK106" s="13"/>
      <c r="EL106" s="13"/>
      <c r="EM106" s="13"/>
      <c r="EN106" s="13"/>
      <c r="EO106" s="13"/>
      <c r="EP106" s="13"/>
      <c r="EQ106" s="13"/>
      <c r="ER106" s="13"/>
      <c r="ES106" s="13"/>
      <c r="ET106" s="13"/>
      <c r="EU106" s="13"/>
      <c r="EV106" s="13"/>
      <c r="EW106" s="13"/>
      <c r="EX106" s="13"/>
      <c r="EY106" s="13"/>
      <c r="EZ106" s="13"/>
      <c r="FA106" s="13"/>
      <c r="FB106" s="13"/>
      <c r="FC106" s="13"/>
      <c r="FD106" s="13"/>
      <c r="FE106" s="13"/>
      <c r="FF106" s="13"/>
      <c r="FG106" s="13"/>
      <c r="FH106" s="196"/>
      <c r="FI106" s="196"/>
      <c r="FJ106" s="196"/>
      <c r="FK106" s="196"/>
      <c r="FL106" s="196"/>
      <c r="FM106" s="196"/>
      <c r="FN106" s="196"/>
      <c r="FO106" s="196"/>
      <c r="FP106" s="196"/>
      <c r="FQ106" s="196"/>
      <c r="FR106" s="196"/>
      <c r="FS106" s="196"/>
      <c r="FT106" s="196"/>
      <c r="FU106" s="196"/>
      <c r="FV106" s="196"/>
      <c r="FW106" s="196"/>
      <c r="FX106" s="196"/>
      <c r="FY106" s="196"/>
      <c r="FZ106" s="196"/>
      <c r="GA106" s="196"/>
      <c r="GB106" s="196"/>
      <c r="GC106" s="196"/>
      <c r="GD106" s="196"/>
      <c r="GE106" s="196"/>
      <c r="GF106" s="196"/>
      <c r="GG106" s="196"/>
      <c r="GH106" s="196"/>
      <c r="GI106" s="196"/>
      <c r="GJ106" s="196"/>
      <c r="GK106" s="13"/>
      <c r="GL106" s="13"/>
      <c r="GM106" s="13"/>
      <c r="GN106" s="13"/>
      <c r="GO106" s="13"/>
      <c r="GP106" s="13"/>
      <c r="GQ106" s="13"/>
      <c r="GR106" s="13"/>
      <c r="GS106" s="13"/>
      <c r="GT106" s="13"/>
      <c r="GU106" s="13"/>
      <c r="GV106" s="13"/>
      <c r="GW106" s="13"/>
      <c r="GX106" s="13"/>
      <c r="GY106" s="13"/>
      <c r="GZ106" s="13"/>
      <c r="HA106" s="13"/>
      <c r="HB106" s="13"/>
      <c r="HC106" s="13"/>
      <c r="HD106" s="13"/>
      <c r="HE106" s="13"/>
      <c r="HF106" s="13"/>
    </row>
    <row r="107" customFormat="false" ht="15.75" hidden="false" customHeight="true" outlineLevel="0" collapsed="false">
      <c r="A107" s="170" t="s">
        <v>408</v>
      </c>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c r="CM107" s="13"/>
      <c r="CN107" s="13"/>
      <c r="CO107" s="13"/>
      <c r="CP107" s="13"/>
      <c r="CQ107" s="13"/>
      <c r="CR107" s="13"/>
      <c r="CS107" s="13"/>
      <c r="CT107" s="13"/>
      <c r="CU107" s="13"/>
      <c r="CV107" s="13"/>
      <c r="CW107" s="13"/>
      <c r="CX107" s="13"/>
      <c r="CY107" s="13"/>
      <c r="CZ107" s="13"/>
      <c r="DA107" s="13"/>
      <c r="DB107" s="13"/>
      <c r="DC107" s="13"/>
      <c r="DD107" s="13"/>
      <c r="DE107" s="13"/>
      <c r="DF107" s="13"/>
      <c r="DG107" s="13"/>
      <c r="DH107" s="13"/>
      <c r="DI107" s="13"/>
      <c r="DJ107" s="13"/>
      <c r="DK107" s="13"/>
      <c r="DL107" s="13"/>
      <c r="DM107" s="13"/>
      <c r="DN107" s="13"/>
      <c r="DO107" s="13"/>
      <c r="DP107" s="13"/>
      <c r="DQ107" s="13"/>
      <c r="DR107" s="13"/>
      <c r="DS107" s="13"/>
      <c r="DT107" s="13"/>
      <c r="DU107" s="13"/>
      <c r="DV107" s="13"/>
      <c r="DW107" s="13"/>
      <c r="DX107" s="13"/>
      <c r="DY107" s="13"/>
      <c r="DZ107" s="13"/>
      <c r="EA107" s="13"/>
      <c r="EB107" s="13"/>
      <c r="EC107" s="13"/>
      <c r="ED107" s="13"/>
      <c r="EE107" s="13"/>
      <c r="EF107" s="13"/>
      <c r="EG107" s="13"/>
      <c r="EH107" s="13"/>
      <c r="EI107" s="13"/>
      <c r="EJ107" s="13"/>
      <c r="EK107" s="13"/>
      <c r="EL107" s="13"/>
      <c r="EM107" s="13"/>
      <c r="EN107" s="13"/>
      <c r="EO107" s="13"/>
      <c r="EP107" s="13"/>
      <c r="EQ107" s="13"/>
      <c r="ER107" s="13"/>
      <c r="ES107" s="13"/>
      <c r="ET107" s="13"/>
      <c r="EU107" s="13"/>
      <c r="EV107" s="13"/>
      <c r="EW107" s="13"/>
      <c r="EX107" s="13"/>
      <c r="EY107" s="13"/>
      <c r="EZ107" s="13"/>
      <c r="FA107" s="13"/>
      <c r="FB107" s="13"/>
      <c r="FC107" s="13"/>
      <c r="FD107" s="13"/>
      <c r="FE107" s="13"/>
      <c r="FF107" s="13"/>
      <c r="FG107" s="13"/>
      <c r="FH107" s="196"/>
      <c r="FI107" s="196"/>
      <c r="FJ107" s="196"/>
      <c r="FK107" s="196"/>
      <c r="FL107" s="196"/>
      <c r="FM107" s="196"/>
      <c r="FN107" s="196"/>
      <c r="FO107" s="196"/>
      <c r="FP107" s="196"/>
      <c r="FQ107" s="196"/>
      <c r="FR107" s="196"/>
      <c r="FS107" s="196"/>
      <c r="FT107" s="196"/>
      <c r="FU107" s="196"/>
      <c r="FV107" s="196"/>
      <c r="FW107" s="196"/>
      <c r="FX107" s="196"/>
      <c r="FY107" s="196"/>
      <c r="FZ107" s="196"/>
      <c r="GA107" s="196"/>
      <c r="GB107" s="196"/>
      <c r="GC107" s="196"/>
      <c r="GD107" s="196"/>
      <c r="GE107" s="196"/>
      <c r="GF107" s="196"/>
      <c r="GG107" s="196"/>
      <c r="GH107" s="196"/>
      <c r="GI107" s="196"/>
      <c r="GJ107" s="196"/>
      <c r="GK107" s="13"/>
      <c r="GL107" s="13"/>
      <c r="GM107" s="13"/>
      <c r="GN107" s="13"/>
      <c r="GO107" s="13"/>
      <c r="GP107" s="13"/>
      <c r="GQ107" s="13"/>
      <c r="GR107" s="13"/>
      <c r="GS107" s="13"/>
      <c r="GT107" s="13"/>
      <c r="GU107" s="13"/>
      <c r="GV107" s="13"/>
      <c r="GW107" s="13"/>
      <c r="GX107" s="13"/>
      <c r="GY107" s="13"/>
      <c r="GZ107" s="13"/>
      <c r="HA107" s="13"/>
      <c r="HB107" s="13"/>
      <c r="HC107" s="13"/>
      <c r="HD107" s="13"/>
      <c r="HE107" s="13"/>
      <c r="HF107" s="13"/>
    </row>
    <row r="108" customFormat="false" ht="15.75" hidden="false" customHeight="true" outlineLevel="0" collapsed="false">
      <c r="A108" s="170" t="s">
        <v>409</v>
      </c>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c r="CL108" s="13"/>
      <c r="CM108" s="13"/>
      <c r="CN108" s="13"/>
      <c r="CO108" s="13"/>
      <c r="CP108" s="13"/>
      <c r="CQ108" s="13"/>
      <c r="CR108" s="13"/>
      <c r="CS108" s="13"/>
      <c r="CT108" s="13"/>
      <c r="CU108" s="13"/>
      <c r="CV108" s="13"/>
      <c r="CW108" s="13"/>
      <c r="CX108" s="13"/>
      <c r="CY108" s="13"/>
      <c r="CZ108" s="13"/>
      <c r="DA108" s="13"/>
      <c r="DB108" s="13"/>
      <c r="DC108" s="13"/>
      <c r="DD108" s="13"/>
      <c r="DE108" s="13"/>
      <c r="DF108" s="13"/>
      <c r="DG108" s="13"/>
      <c r="DH108" s="13"/>
      <c r="DI108" s="13"/>
      <c r="DJ108" s="13"/>
      <c r="DK108" s="13"/>
      <c r="DL108" s="13"/>
      <c r="DM108" s="13"/>
      <c r="DN108" s="13"/>
      <c r="DO108" s="13"/>
      <c r="DP108" s="13"/>
      <c r="DQ108" s="13"/>
      <c r="DR108" s="13"/>
      <c r="DS108" s="13"/>
      <c r="DT108" s="13"/>
      <c r="DU108" s="13"/>
      <c r="DV108" s="13"/>
      <c r="DW108" s="13"/>
      <c r="DX108" s="13"/>
      <c r="DY108" s="13"/>
      <c r="DZ108" s="13"/>
      <c r="EA108" s="13"/>
      <c r="EB108" s="13"/>
      <c r="EC108" s="13"/>
      <c r="ED108" s="13"/>
      <c r="EE108" s="13"/>
      <c r="EF108" s="13"/>
      <c r="EG108" s="13"/>
      <c r="EH108" s="13"/>
      <c r="EI108" s="13"/>
      <c r="EJ108" s="13"/>
      <c r="EK108" s="13"/>
      <c r="EL108" s="13"/>
      <c r="EM108" s="13"/>
      <c r="EN108" s="13"/>
      <c r="EO108" s="13"/>
      <c r="EP108" s="13"/>
      <c r="EQ108" s="13"/>
      <c r="ER108" s="13"/>
      <c r="ES108" s="13"/>
      <c r="ET108" s="13"/>
      <c r="EU108" s="13"/>
      <c r="EV108" s="13"/>
      <c r="EW108" s="13"/>
      <c r="EX108" s="13"/>
      <c r="EY108" s="13"/>
      <c r="EZ108" s="13"/>
      <c r="FA108" s="13"/>
      <c r="FB108" s="13"/>
      <c r="FC108" s="13"/>
      <c r="FD108" s="13"/>
      <c r="FE108" s="13"/>
      <c r="FF108" s="13"/>
      <c r="FG108" s="13"/>
      <c r="FH108" s="196"/>
      <c r="FI108" s="196"/>
      <c r="FJ108" s="196"/>
      <c r="FK108" s="196"/>
      <c r="FL108" s="196"/>
      <c r="FM108" s="196"/>
      <c r="FN108" s="196"/>
      <c r="FO108" s="196"/>
      <c r="FP108" s="196"/>
      <c r="FQ108" s="196"/>
      <c r="FR108" s="196"/>
      <c r="FS108" s="196"/>
      <c r="FT108" s="196"/>
      <c r="FU108" s="196"/>
      <c r="FV108" s="196"/>
      <c r="FW108" s="196"/>
      <c r="FX108" s="196"/>
      <c r="FY108" s="196"/>
      <c r="FZ108" s="196"/>
      <c r="GA108" s="196"/>
      <c r="GB108" s="196"/>
      <c r="GC108" s="196"/>
      <c r="GD108" s="196"/>
      <c r="GE108" s="196"/>
      <c r="GF108" s="196"/>
      <c r="GG108" s="196"/>
      <c r="GH108" s="196"/>
      <c r="GI108" s="196"/>
      <c r="GJ108" s="196"/>
      <c r="GK108" s="13"/>
      <c r="GL108" s="13"/>
      <c r="GM108" s="13"/>
      <c r="GN108" s="13"/>
      <c r="GO108" s="13"/>
      <c r="GP108" s="13"/>
      <c r="GQ108" s="13"/>
      <c r="GR108" s="13"/>
      <c r="GS108" s="13"/>
      <c r="GT108" s="13"/>
      <c r="GU108" s="13"/>
      <c r="GV108" s="13"/>
      <c r="GW108" s="13"/>
      <c r="GX108" s="13"/>
      <c r="GY108" s="13"/>
      <c r="GZ108" s="13"/>
      <c r="HA108" s="13"/>
      <c r="HB108" s="13"/>
      <c r="HC108" s="13"/>
      <c r="HD108" s="13"/>
      <c r="HE108" s="13"/>
      <c r="HF108" s="13"/>
    </row>
    <row r="109" customFormat="false" ht="15.75" hidden="false" customHeight="true" outlineLevel="0" collapsed="false">
      <c r="A109" s="170" t="s">
        <v>410</v>
      </c>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c r="CL109" s="13"/>
      <c r="CM109" s="13"/>
      <c r="CN109" s="13"/>
      <c r="CO109" s="13"/>
      <c r="CP109" s="13"/>
      <c r="CQ109" s="13"/>
      <c r="CR109" s="13"/>
      <c r="CS109" s="13"/>
      <c r="CT109" s="13"/>
      <c r="CU109" s="13"/>
      <c r="CV109" s="13"/>
      <c r="CW109" s="13"/>
      <c r="CX109" s="13"/>
      <c r="CY109" s="13"/>
      <c r="CZ109" s="13"/>
      <c r="DA109" s="13"/>
      <c r="DB109" s="13"/>
      <c r="DC109" s="13"/>
      <c r="DD109" s="13"/>
      <c r="DE109" s="13"/>
      <c r="DF109" s="13"/>
      <c r="DG109" s="13"/>
      <c r="DH109" s="13"/>
      <c r="DI109" s="13"/>
      <c r="DJ109" s="13"/>
      <c r="DK109" s="13"/>
      <c r="DL109" s="13"/>
      <c r="DM109" s="13"/>
      <c r="DN109" s="13"/>
      <c r="DO109" s="13"/>
      <c r="DP109" s="13"/>
      <c r="DQ109" s="13"/>
      <c r="DR109" s="13"/>
      <c r="DS109" s="13"/>
      <c r="DT109" s="13"/>
      <c r="DU109" s="13"/>
      <c r="DV109" s="13"/>
      <c r="DW109" s="13"/>
      <c r="DX109" s="13"/>
      <c r="DY109" s="13"/>
      <c r="DZ109" s="13"/>
      <c r="EA109" s="13"/>
      <c r="EB109" s="13"/>
      <c r="EC109" s="13"/>
      <c r="ED109" s="13"/>
      <c r="EE109" s="13"/>
      <c r="EF109" s="13"/>
      <c r="EG109" s="13"/>
      <c r="EH109" s="13"/>
      <c r="EI109" s="13"/>
      <c r="EJ109" s="13"/>
      <c r="EK109" s="13"/>
      <c r="EL109" s="13"/>
      <c r="EM109" s="13"/>
      <c r="EN109" s="13"/>
      <c r="EO109" s="13"/>
      <c r="EP109" s="13"/>
      <c r="EQ109" s="13"/>
      <c r="ER109" s="13"/>
      <c r="ES109" s="13"/>
      <c r="ET109" s="13"/>
      <c r="EU109" s="13"/>
      <c r="EV109" s="13"/>
      <c r="EW109" s="13"/>
      <c r="EX109" s="13"/>
      <c r="EY109" s="13"/>
      <c r="EZ109" s="13"/>
      <c r="FA109" s="13"/>
      <c r="FB109" s="13"/>
      <c r="FC109" s="13"/>
      <c r="FD109" s="13"/>
      <c r="FE109" s="13"/>
      <c r="FF109" s="13"/>
      <c r="FG109" s="13"/>
      <c r="FH109" s="196"/>
      <c r="FI109" s="196"/>
      <c r="FJ109" s="196"/>
      <c r="FK109" s="196"/>
      <c r="FL109" s="196"/>
      <c r="FM109" s="196"/>
      <c r="FN109" s="196"/>
      <c r="FO109" s="196"/>
      <c r="FP109" s="196"/>
      <c r="FQ109" s="196"/>
      <c r="FR109" s="196"/>
      <c r="FS109" s="196"/>
      <c r="FT109" s="196"/>
      <c r="FU109" s="196"/>
      <c r="FV109" s="196"/>
      <c r="FW109" s="196"/>
      <c r="FX109" s="196"/>
      <c r="FY109" s="196"/>
      <c r="FZ109" s="196"/>
      <c r="GA109" s="196"/>
      <c r="GB109" s="196"/>
      <c r="GC109" s="196"/>
      <c r="GD109" s="196"/>
      <c r="GE109" s="196"/>
      <c r="GF109" s="196"/>
      <c r="GG109" s="196"/>
      <c r="GH109" s="196"/>
      <c r="GI109" s="196"/>
      <c r="GJ109" s="196"/>
      <c r="GK109" s="13"/>
      <c r="GL109" s="13"/>
      <c r="GM109" s="13"/>
      <c r="GN109" s="13"/>
      <c r="GO109" s="13"/>
      <c r="GP109" s="13"/>
      <c r="GQ109" s="13"/>
      <c r="GR109" s="13"/>
      <c r="GS109" s="13"/>
      <c r="GT109" s="13"/>
      <c r="GU109" s="13"/>
      <c r="GV109" s="13"/>
      <c r="GW109" s="13"/>
      <c r="GX109" s="13"/>
      <c r="GY109" s="13"/>
      <c r="GZ109" s="13"/>
      <c r="HA109" s="13"/>
      <c r="HB109" s="13"/>
      <c r="HC109" s="13"/>
      <c r="HD109" s="13"/>
      <c r="HE109" s="13"/>
      <c r="HF109" s="13"/>
    </row>
  </sheetData>
  <autoFilter ref="A1:EV41"/>
  <dataValidations count="1">
    <dataValidation allowBlank="true" errorStyle="stop" operator="between" showDropDown="false" showErrorMessage="true" showInputMessage="true" sqref="CS3:FD3 FI3:GC4 CX4:FD5 FE5:FV5 CS6:FD7 FI6:GC6 FE7:FV7 CR8:FV9 CT10:FV10 CX11:FV11 CX12:FD12 FI12:GC12 CX13:CX15 DC13:FV13 CS14:CW14 CY14:GC14 CY15:FV15 CR16:FV16 CS17:FD18 FI17:GC17 GE17 FE18:FV18 CT19:FD19 CR20:GB20 CV21:GB21 CR22:GB22 CS23:CS28 CX23:FD23 FI23:GC23 CT24:FV24 CT25:FD26 FP25:GC25 CT27:EE28 EJ27:FD27 FX27:GB27 EF28:FD28 FP28:GC28 CR29:FS35 FX29:GB35 CR36:FD40 FI36:GC36 FE37:GC37 FI38:GB71 GC40:GC46 CR41:EL41 EO41:FD41 DP42:DW42 DY42:FD42 DP43:DP44 EB43:FD43 EC44:FD44 EF45:FD45 EK46:FD47 GE46 EO48:FD51 GC48:GC49 GE50 EP52:FD58 GC58:GC71 EQ59:FD59 ER60:FD60 ET61:FD63 EW64:FD65 FC66:FD66 EY67:FD67 EZ68:FD70 GE69 FB71:FD71 FD72:FE72 FH72:GB73 FE73 GC73:GC74 FK74:GB74 FS75:GB77 GC76:GC80 FT78:GB78 FV79:GB79 GA80:GB80 GE80:GH80" type="list">
      <formula1>'Cell References'!$F$4:$F$8</formula1>
      <formula2>0</formula2>
    </dataValidation>
  </dataValidations>
  <printOptions headings="false" gridLines="false" gridLinesSet="true" horizontalCentered="false" verticalCentered="false"/>
  <pageMargins left="0" right="0" top="0" bottom="0"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cellIs" priority="2" operator="equal" id="{935FB0D0-EE69-4662-B7C9-6E30B7F2624F}">
            <xm:f>'Cell References'!$F$8</xm:f>
            <x14:dxf>
              <fill>
                <patternFill>
                  <bgColor rgb="FF00B0F0"/>
                </patternFill>
              </fill>
            </x14:dxf>
          </x14:cfRule>
          <x14:cfRule type="cellIs" priority="3" operator="equal" id="{AC71C33C-F446-469E-80C9-3CEF4D91C235}">
            <xm:f>'Cell References'!$F$7</xm:f>
            <x14:dxf>
              <fill>
                <patternFill>
                  <bgColor rgb="FF92D050"/>
                </patternFill>
              </fill>
            </x14:dxf>
          </x14:cfRule>
          <x14:cfRule type="cellIs" priority="4" operator="equal" id="{1860ED72-B475-433A-A5A3-3078C86BA066}">
            <xm:f>'Cell References'!$F$6</xm:f>
            <x14:dxf>
              <fill>
                <patternFill>
                  <bgColor rgb="FFE920F8"/>
                </patternFill>
              </fill>
            </x14:dxf>
          </x14:cfRule>
          <x14:cfRule type="cellIs" priority="5" operator="equal" id="{79C1C16A-DFA0-4B53-B8E9-DE22A2FFCE87}">
            <xm:f>'Cell References'!$F$5</xm:f>
            <x14:dxf>
              <fill>
                <patternFill>
                  <bgColor rgb="FFFF0000"/>
                </patternFill>
              </fill>
            </x14:dxf>
          </x14:cfRule>
          <x14:cfRule type="cellIs" priority="6" operator="equal" id="{54985092-E6CC-4CB3-ACB8-FC51C01620B2}">
            <xm:f>'Cell References'!$F$4</xm:f>
            <x14:dxf>
              <fill>
                <patternFill>
                  <bgColor theme="8"/>
                </patternFill>
              </fill>
            </x14:dxf>
          </x14:cfRule>
          <xm:sqref>B2:F2 A3:FG7 FH3:FL28 EW8:FG9 A8:FC10 FD10:FG11 A11 G11:FG11 A12:FG28 110:501 A75:FM109 FM3:FM74 A29:FL74 FN3:XFD62 FN63:GI63 GK63:XFD63 FN64:XFD109</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2" topLeftCell="I126" activePane="bottomRight" state="frozen"/>
      <selection pane="topLeft" activeCell="A1" activeCellId="0" sqref="A1"/>
      <selection pane="topRight" activeCell="I1" activeCellId="0" sqref="I1"/>
      <selection pane="bottomLeft" activeCell="A126" activeCellId="0" sqref="A126"/>
      <selection pane="bottomRight" activeCell="O141" activeCellId="0" sqref="O141"/>
    </sheetView>
  </sheetViews>
  <sheetFormatPr defaultColWidth="8.859375" defaultRowHeight="12.75" zeroHeight="false" outlineLevelRow="0" outlineLevelCol="0"/>
  <cols>
    <col collapsed="false" customWidth="true" hidden="false" outlineLevel="0" max="1" min="1" style="0" width="20.14"/>
    <col collapsed="false" customWidth="true" hidden="false" outlineLevel="0" max="2" min="2" style="0" width="12.42"/>
    <col collapsed="false" customWidth="true" hidden="false" outlineLevel="0" max="3" min="3" style="0" width="17.15"/>
    <col collapsed="false" customWidth="true" hidden="false" outlineLevel="0" max="4" min="4" style="0" width="15.42"/>
    <col collapsed="false" customWidth="true" hidden="false" outlineLevel="0" max="5" min="5" style="4" width="26.42"/>
    <col collapsed="false" customWidth="true" hidden="false" outlineLevel="0" max="6" min="6" style="4" width="22.86"/>
    <col collapsed="false" customWidth="true" hidden="false" outlineLevel="0" max="7" min="7" style="223" width="19.29"/>
    <col collapsed="false" customWidth="true" hidden="false" outlineLevel="0" max="8" min="8" style="0" width="31.29"/>
    <col collapsed="false" customWidth="true" hidden="false" outlineLevel="0" max="9" min="9" style="0" width="13.42"/>
    <col collapsed="false" customWidth="true" hidden="false" outlineLevel="0" max="10" min="10" style="0" width="36.57"/>
    <col collapsed="false" customWidth="true" hidden="false" outlineLevel="0" max="11" min="11" style="0" width="12.71"/>
    <col collapsed="false" customWidth="true" hidden="false" outlineLevel="0" max="12" min="12" style="0" width="16.71"/>
    <col collapsed="false" customWidth="true" hidden="false" outlineLevel="0" max="13" min="13" style="0" width="15.85"/>
  </cols>
  <sheetData>
    <row r="1" s="205" customFormat="true" ht="23.85" hidden="false" customHeight="false" outlineLevel="0" collapsed="false">
      <c r="A1" s="224" t="s">
        <v>844</v>
      </c>
      <c r="B1" s="225" t="s">
        <v>845</v>
      </c>
      <c r="C1" s="226" t="s">
        <v>48</v>
      </c>
      <c r="D1" s="226" t="s">
        <v>846</v>
      </c>
      <c r="E1" s="224" t="s">
        <v>462</v>
      </c>
      <c r="F1" s="224" t="s">
        <v>847</v>
      </c>
      <c r="G1" s="224" t="s">
        <v>848</v>
      </c>
      <c r="H1" s="226" t="s">
        <v>461</v>
      </c>
      <c r="I1" s="226" t="s">
        <v>464</v>
      </c>
      <c r="J1" s="227" t="s">
        <v>849</v>
      </c>
      <c r="K1" s="227" t="s">
        <v>850</v>
      </c>
      <c r="L1" s="224" t="s">
        <v>851</v>
      </c>
      <c r="M1" s="226" t="s">
        <v>852</v>
      </c>
    </row>
    <row r="2" s="205" customFormat="true" ht="23.85" hidden="false" customHeight="false" outlineLevel="0" collapsed="false">
      <c r="A2" s="224"/>
      <c r="B2" s="224"/>
      <c r="C2" s="226"/>
      <c r="D2" s="226"/>
      <c r="E2" s="228" t="s">
        <v>853</v>
      </c>
      <c r="F2" s="228"/>
      <c r="G2" s="228" t="s">
        <v>854</v>
      </c>
      <c r="H2" s="229" t="s">
        <v>855</v>
      </c>
      <c r="I2" s="230" t="s">
        <v>855</v>
      </c>
      <c r="J2" s="227"/>
      <c r="K2" s="227"/>
      <c r="L2" s="224"/>
      <c r="M2" s="226"/>
    </row>
    <row r="3" customFormat="false" ht="35.05" hidden="false" customHeight="false" outlineLevel="0" collapsed="false">
      <c r="A3" s="2" t="s">
        <v>856</v>
      </c>
      <c r="B3" s="3" t="s">
        <v>857</v>
      </c>
      <c r="C3" s="2" t="s">
        <v>68</v>
      </c>
      <c r="D3" s="2" t="n">
        <v>33763</v>
      </c>
      <c r="E3" s="3" t="s">
        <v>471</v>
      </c>
      <c r="F3" s="3" t="s">
        <v>858</v>
      </c>
      <c r="G3" s="3" t="s">
        <v>859</v>
      </c>
      <c r="H3" s="2" t="str">
        <f aca="true">OFFSET('Installed Sensors'!$B$1,MATCH($E3,'Installed Sensors'!$C:$C,0)-1,0)</f>
        <v>Old Town East</v>
      </c>
      <c r="I3" s="2" t="n">
        <f aca="true">OFFSET('Installed Sensors'!$E$1,MATCH($E3,'Installed Sensors'!$C:$C,0)-1,0)</f>
        <v>43203</v>
      </c>
      <c r="J3" s="2" t="n">
        <v>39.9668585</v>
      </c>
      <c r="K3" s="2" t="n">
        <v>-82.9522912</v>
      </c>
      <c r="L3" s="231" t="n">
        <v>43945</v>
      </c>
      <c r="M3" s="231" t="n">
        <v>44623</v>
      </c>
    </row>
    <row r="4" customFormat="false" ht="12.75" hidden="false" customHeight="false" outlineLevel="0" collapsed="false">
      <c r="A4" s="2" t="s">
        <v>860</v>
      </c>
      <c r="B4" s="2" t="s">
        <v>861</v>
      </c>
      <c r="C4" s="2" t="s">
        <v>81</v>
      </c>
      <c r="D4" s="2" t="n">
        <v>33773</v>
      </c>
      <c r="E4" s="3" t="s">
        <v>862</v>
      </c>
      <c r="F4" s="3" t="s">
        <v>863</v>
      </c>
      <c r="G4" s="3" t="s">
        <v>864</v>
      </c>
      <c r="H4" s="2" t="e">
        <f aca="true">OFFSET('Installed Sensors'!$B$1,MATCH($E4,'Installed Sensors'!$C:$C,0)-1,0)</f>
        <v>#N/A</v>
      </c>
      <c r="I4" s="2" t="e">
        <f aca="true">OFFSET('Installed Sensors'!$E$1,MATCH($E4,'Installed Sensors'!$C:$C,0)-1,0)</f>
        <v>#N/A</v>
      </c>
      <c r="J4" s="2" t="n">
        <v>40.111164</v>
      </c>
      <c r="K4" s="2" t="n">
        <v>-83.0654</v>
      </c>
      <c r="L4" s="231" t="n">
        <v>44400</v>
      </c>
      <c r="M4" s="231" t="n">
        <v>44414</v>
      </c>
    </row>
    <row r="5" customFormat="false" ht="12.75" hidden="false" customHeight="false" outlineLevel="0" collapsed="false">
      <c r="A5" s="2" t="s">
        <v>865</v>
      </c>
      <c r="B5" s="3" t="s">
        <v>857</v>
      </c>
      <c r="C5" s="2" t="s">
        <v>81</v>
      </c>
      <c r="D5" s="2" t="n">
        <v>118637</v>
      </c>
      <c r="E5" s="3" t="s">
        <v>866</v>
      </c>
      <c r="F5" s="3" t="s">
        <v>479</v>
      </c>
      <c r="G5" s="3" t="s">
        <v>867</v>
      </c>
      <c r="H5" s="2" t="e">
        <f aca="true">OFFSET('Installed Sensors'!$B$1,MATCH($E5,'Installed Sensors'!$C:$C,0)-1,0)</f>
        <v>#N/A</v>
      </c>
      <c r="I5" s="2" t="e">
        <f aca="true">OFFSET('Installed Sensors'!$E$1,MATCH($E5,'Installed Sensors'!$C:$C,0)-1,0)</f>
        <v>#N/A</v>
      </c>
      <c r="J5" s="2" t="n">
        <v>39.947178</v>
      </c>
      <c r="K5" s="2" t="n">
        <v>-83.05088</v>
      </c>
      <c r="L5" s="231" t="n">
        <v>44464</v>
      </c>
      <c r="M5" s="232"/>
    </row>
    <row r="6" customFormat="false" ht="12.75" hidden="false" customHeight="false" outlineLevel="0" collapsed="false">
      <c r="A6" s="2" t="s">
        <v>868</v>
      </c>
      <c r="B6" s="2" t="s">
        <v>861</v>
      </c>
      <c r="C6" s="2" t="s">
        <v>84</v>
      </c>
      <c r="D6" s="2"/>
      <c r="E6" s="3" t="s">
        <v>862</v>
      </c>
      <c r="F6" s="3" t="s">
        <v>863</v>
      </c>
      <c r="G6" s="3" t="s">
        <v>869</v>
      </c>
      <c r="H6" s="2" t="e">
        <f aca="true">OFFSET('Installed Sensors'!$B$1,MATCH($E6,'Installed Sensors'!$C:$C,0)-1,0)</f>
        <v>#N/A</v>
      </c>
      <c r="I6" s="2" t="e">
        <f aca="true">OFFSET('Installed Sensors'!$E$1,MATCH($E6,'Installed Sensors'!$C:$C,0)-1,0)</f>
        <v>#N/A</v>
      </c>
      <c r="J6" s="2" t="n">
        <v>40.111164</v>
      </c>
      <c r="K6" s="2" t="n">
        <v>-83.0654</v>
      </c>
      <c r="L6" s="231" t="n">
        <v>44414</v>
      </c>
      <c r="M6" s="231" t="n">
        <v>44428</v>
      </c>
    </row>
    <row r="7" customFormat="false" ht="12.75" hidden="false" customHeight="false" outlineLevel="0" collapsed="false">
      <c r="A7" s="2" t="s">
        <v>870</v>
      </c>
      <c r="B7" s="3" t="s">
        <v>857</v>
      </c>
      <c r="C7" s="2" t="s">
        <v>84</v>
      </c>
      <c r="D7" s="2" t="n">
        <v>149764</v>
      </c>
      <c r="E7" s="3" t="s">
        <v>871</v>
      </c>
      <c r="F7" s="3" t="s">
        <v>486</v>
      </c>
      <c r="G7" s="3" t="s">
        <v>872</v>
      </c>
      <c r="H7" s="2" t="e">
        <f aca="true">OFFSET('Installed Sensors'!$B$1,MATCH($E7,'Installed Sensors'!$C:$C,0)-1,0)</f>
        <v>#N/A</v>
      </c>
      <c r="I7" s="2" t="e">
        <f aca="true">OFFSET('Installed Sensors'!$E$1,MATCH($E7,'Installed Sensors'!$C:$C,0)-1,0)</f>
        <v>#N/A</v>
      </c>
      <c r="J7" s="2" t="n">
        <v>39.986</v>
      </c>
      <c r="K7" s="2" t="n">
        <v>-82.941</v>
      </c>
      <c r="L7" s="231" t="n">
        <v>44712</v>
      </c>
      <c r="M7" s="232"/>
    </row>
    <row r="8" customFormat="false" ht="12.75" hidden="false" customHeight="false" outlineLevel="0" collapsed="false">
      <c r="A8" s="2" t="s">
        <v>873</v>
      </c>
      <c r="B8" s="2" t="s">
        <v>861</v>
      </c>
      <c r="C8" s="2" t="s">
        <v>92</v>
      </c>
      <c r="D8" s="2" t="n">
        <v>33839</v>
      </c>
      <c r="E8" s="3" t="s">
        <v>862</v>
      </c>
      <c r="F8" s="3" t="s">
        <v>863</v>
      </c>
      <c r="G8" s="3" t="s">
        <v>874</v>
      </c>
      <c r="H8" s="2" t="e">
        <f aca="true">OFFSET('Installed Sensors'!$B$1,MATCH($E8,'Installed Sensors'!$C:$C,0)-1,0)</f>
        <v>#N/A</v>
      </c>
      <c r="I8" s="2" t="e">
        <f aca="true">OFFSET('Installed Sensors'!$E$1,MATCH($E8,'Installed Sensors'!$C:$C,0)-1,0)</f>
        <v>#N/A</v>
      </c>
      <c r="J8" s="2" t="n">
        <v>40.111164</v>
      </c>
      <c r="K8" s="2" t="n">
        <v>-83.0654</v>
      </c>
      <c r="L8" s="231" t="n">
        <v>44414</v>
      </c>
      <c r="M8" s="231" t="n">
        <v>44428</v>
      </c>
    </row>
    <row r="9" customFormat="false" ht="12.75" hidden="false" customHeight="false" outlineLevel="0" collapsed="false">
      <c r="A9" s="2" t="s">
        <v>875</v>
      </c>
      <c r="B9" s="2" t="s">
        <v>861</v>
      </c>
      <c r="C9" s="2" t="s">
        <v>95</v>
      </c>
      <c r="D9" s="2" t="n">
        <v>33649</v>
      </c>
      <c r="E9" s="3" t="s">
        <v>862</v>
      </c>
      <c r="F9" s="3" t="s">
        <v>863</v>
      </c>
      <c r="G9" s="3" t="s">
        <v>876</v>
      </c>
      <c r="H9" s="2" t="e">
        <f aca="true">OFFSET('Installed Sensors'!$B$1,MATCH($E9,'Installed Sensors'!$C:$C,0)-1,0)</f>
        <v>#N/A</v>
      </c>
      <c r="I9" s="2" t="e">
        <f aca="true">OFFSET('Installed Sensors'!$E$1,MATCH($E9,'Installed Sensors'!$C:$C,0)-1,0)</f>
        <v>#N/A</v>
      </c>
      <c r="J9" s="2" t="n">
        <v>40.111164</v>
      </c>
      <c r="K9" s="2" t="n">
        <v>-83.0654</v>
      </c>
      <c r="L9" s="231" t="n">
        <v>44400</v>
      </c>
      <c r="M9" s="231" t="n">
        <v>44414</v>
      </c>
    </row>
    <row r="10" customFormat="false" ht="12.75" hidden="false" customHeight="false" outlineLevel="0" collapsed="false">
      <c r="A10" s="2" t="s">
        <v>877</v>
      </c>
      <c r="B10" s="6" t="s">
        <v>861</v>
      </c>
      <c r="C10" s="2" t="s">
        <v>104</v>
      </c>
      <c r="D10" s="2" t="n">
        <v>33761</v>
      </c>
      <c r="E10" s="3" t="s">
        <v>862</v>
      </c>
      <c r="F10" s="3" t="s">
        <v>863</v>
      </c>
      <c r="G10" s="3" t="s">
        <v>878</v>
      </c>
      <c r="H10" s="2" t="e">
        <f aca="true">OFFSET('Installed Sensors'!$B$1,MATCH($E10,'Installed Sensors'!$C:$C,0)-1,0)</f>
        <v>#N/A</v>
      </c>
      <c r="I10" s="2" t="e">
        <f aca="true">OFFSET('Installed Sensors'!$E$1,MATCH($E10,'Installed Sensors'!$C:$C,0)-1,0)</f>
        <v>#N/A</v>
      </c>
      <c r="J10" s="2" t="n">
        <v>40.111164</v>
      </c>
      <c r="K10" s="2" t="n">
        <v>-83.0654</v>
      </c>
      <c r="L10" s="231" t="n">
        <v>44400</v>
      </c>
      <c r="M10" s="231" t="n">
        <v>44414</v>
      </c>
    </row>
    <row r="11" customFormat="false" ht="12.75" hidden="false" customHeight="false" outlineLevel="0" collapsed="false">
      <c r="A11" s="2" t="s">
        <v>879</v>
      </c>
      <c r="B11" s="3" t="s">
        <v>857</v>
      </c>
      <c r="C11" s="2" t="s">
        <v>104</v>
      </c>
      <c r="D11" s="2" t="n">
        <v>118631</v>
      </c>
      <c r="E11" s="3" t="s">
        <v>492</v>
      </c>
      <c r="F11" s="3" t="s">
        <v>880</v>
      </c>
      <c r="G11" s="3" t="s">
        <v>881</v>
      </c>
      <c r="H11" s="2" t="str">
        <f aca="true">OFFSET('Installed Sensors'!$B$1,MATCH($E11,'Installed Sensors'!$C:$C,0)-1,0)</f>
        <v>Grandview Heights</v>
      </c>
      <c r="I11" s="2" t="n">
        <f aca="true">OFFSET('Installed Sensors'!$E$1,MATCH($E11,'Installed Sensors'!$C:$C,0)-1,0)</f>
        <v>43212</v>
      </c>
      <c r="J11" s="2" t="n">
        <v>39.991993</v>
      </c>
      <c r="K11" s="2" t="n">
        <v>-83.03988</v>
      </c>
      <c r="L11" s="233" t="n">
        <v>44562</v>
      </c>
      <c r="M11" s="234" t="n">
        <v>45380</v>
      </c>
    </row>
    <row r="12" customFormat="false" ht="12.75" hidden="false" customHeight="false" outlineLevel="0" collapsed="false">
      <c r="A12" s="2" t="s">
        <v>882</v>
      </c>
      <c r="B12" s="2" t="s">
        <v>861</v>
      </c>
      <c r="C12" s="2" t="s">
        <v>111</v>
      </c>
      <c r="D12" s="2"/>
      <c r="E12" s="3" t="s">
        <v>862</v>
      </c>
      <c r="F12" s="3" t="s">
        <v>863</v>
      </c>
      <c r="G12" s="3" t="s">
        <v>883</v>
      </c>
      <c r="H12" s="2" t="e">
        <f aca="true">OFFSET('Installed Sensors'!$B$1,MATCH($E12,'Installed Sensors'!$C:$C,0)-1,0)</f>
        <v>#N/A</v>
      </c>
      <c r="I12" s="2" t="e">
        <f aca="true">OFFSET('Installed Sensors'!$E$1,MATCH($E12,'Installed Sensors'!$C:$C,0)-1,0)</f>
        <v>#N/A</v>
      </c>
      <c r="J12" s="2" t="n">
        <v>40.111164</v>
      </c>
      <c r="K12" s="2" t="n">
        <v>-83.0654</v>
      </c>
      <c r="L12" s="231" t="n">
        <v>44400</v>
      </c>
      <c r="M12" s="231" t="n">
        <v>44414</v>
      </c>
    </row>
    <row r="13" customFormat="false" ht="12.75" hidden="false" customHeight="false" outlineLevel="0" collapsed="false">
      <c r="A13" s="2" t="s">
        <v>884</v>
      </c>
      <c r="B13" s="3" t="s">
        <v>857</v>
      </c>
      <c r="C13" s="2" t="s">
        <v>111</v>
      </c>
      <c r="D13" s="2" t="n">
        <v>33861</v>
      </c>
      <c r="E13" s="3" t="s">
        <v>498</v>
      </c>
      <c r="F13" s="3" t="s">
        <v>479</v>
      </c>
      <c r="G13" s="3" t="s">
        <v>885</v>
      </c>
      <c r="H13" s="2" t="str">
        <f aca="true">OFFSET('Installed Sensors'!$B$1,MATCH($E13,'Installed Sensors'!$C:$C,0)-1,0)</f>
        <v>Linden</v>
      </c>
      <c r="I13" s="2" t="n">
        <f aca="true">OFFSET('Installed Sensors'!$E$1,MATCH($E13,'Installed Sensors'!$C:$C,0)-1,0)</f>
        <v>43211</v>
      </c>
      <c r="J13" s="2" t="n">
        <v>40.021294</v>
      </c>
      <c r="K13" s="2" t="n">
        <v>-82.990456</v>
      </c>
      <c r="L13" s="233" t="n">
        <v>44562</v>
      </c>
      <c r="M13" s="232"/>
    </row>
    <row r="14" customFormat="false" ht="12.75" hidden="false" customHeight="false" outlineLevel="0" collapsed="false">
      <c r="A14" s="2" t="s">
        <v>886</v>
      </c>
      <c r="B14" s="2" t="s">
        <v>861</v>
      </c>
      <c r="C14" s="2" t="s">
        <v>114</v>
      </c>
      <c r="D14" s="2" t="n">
        <v>33811</v>
      </c>
      <c r="E14" s="3" t="s">
        <v>862</v>
      </c>
      <c r="F14" s="3" t="s">
        <v>863</v>
      </c>
      <c r="G14" s="3" t="s">
        <v>887</v>
      </c>
      <c r="H14" s="2" t="e">
        <f aca="true">OFFSET('Installed Sensors'!$B$1,MATCH($E14,'Installed Sensors'!$C:$C,0)-1,0)</f>
        <v>#N/A</v>
      </c>
      <c r="I14" s="2" t="e">
        <f aca="true">OFFSET('Installed Sensors'!$E$1,MATCH($E14,'Installed Sensors'!$C:$C,0)-1,0)</f>
        <v>#N/A</v>
      </c>
      <c r="J14" s="2" t="n">
        <v>40.111164</v>
      </c>
      <c r="K14" s="2" t="n">
        <v>-83.0654</v>
      </c>
      <c r="L14" s="231" t="n">
        <v>44414</v>
      </c>
      <c r="M14" s="231" t="n">
        <v>44428</v>
      </c>
    </row>
    <row r="15" customFormat="false" ht="12.75" hidden="false" customHeight="false" outlineLevel="0" collapsed="false">
      <c r="A15" s="2" t="s">
        <v>888</v>
      </c>
      <c r="B15" s="2" t="s">
        <v>861</v>
      </c>
      <c r="C15" s="2" t="s">
        <v>117</v>
      </c>
      <c r="D15" s="2" t="n">
        <v>33775</v>
      </c>
      <c r="E15" s="3" t="s">
        <v>862</v>
      </c>
      <c r="F15" s="3" t="s">
        <v>863</v>
      </c>
      <c r="G15" s="3" t="s">
        <v>889</v>
      </c>
      <c r="H15" s="2" t="e">
        <f aca="true">OFFSET('Installed Sensors'!$B$1,MATCH($E15,'Installed Sensors'!$C:$C,0)-1,0)</f>
        <v>#N/A</v>
      </c>
      <c r="I15" s="2" t="e">
        <f aca="true">OFFSET('Installed Sensors'!$E$1,MATCH($E15,'Installed Sensors'!$C:$C,0)-1,0)</f>
        <v>#N/A</v>
      </c>
      <c r="J15" s="2" t="n">
        <v>40.111164</v>
      </c>
      <c r="K15" s="2" t="n">
        <v>-83.0654</v>
      </c>
      <c r="L15" s="231" t="n">
        <v>44414</v>
      </c>
      <c r="M15" s="231" t="n">
        <v>44428</v>
      </c>
    </row>
    <row r="16" customFormat="false" ht="12.75" hidden="false" customHeight="false" outlineLevel="0" collapsed="false">
      <c r="A16" s="2" t="s">
        <v>890</v>
      </c>
      <c r="B16" s="2" t="s">
        <v>861</v>
      </c>
      <c r="C16" s="2" t="s">
        <v>121</v>
      </c>
      <c r="D16" s="2" t="n">
        <v>33791</v>
      </c>
      <c r="E16" s="3" t="s">
        <v>862</v>
      </c>
      <c r="F16" s="3" t="s">
        <v>863</v>
      </c>
      <c r="G16" s="3" t="s">
        <v>891</v>
      </c>
      <c r="H16" s="2" t="e">
        <f aca="true">OFFSET('Installed Sensors'!$B$1,MATCH($E16,'Installed Sensors'!$C:$C,0)-1,0)</f>
        <v>#N/A</v>
      </c>
      <c r="I16" s="2" t="e">
        <f aca="true">OFFSET('Installed Sensors'!$E$1,MATCH($E16,'Installed Sensors'!$C:$C,0)-1,0)</f>
        <v>#N/A</v>
      </c>
      <c r="J16" s="2" t="n">
        <v>40.111164</v>
      </c>
      <c r="K16" s="2" t="n">
        <v>-83.0654</v>
      </c>
      <c r="L16" s="231" t="n">
        <v>44414</v>
      </c>
      <c r="M16" s="231" t="n">
        <v>44428</v>
      </c>
    </row>
    <row r="17" customFormat="false" ht="12.75" hidden="false" customHeight="false" outlineLevel="0" collapsed="false">
      <c r="A17" s="2" t="s">
        <v>892</v>
      </c>
      <c r="B17" s="3" t="s">
        <v>857</v>
      </c>
      <c r="C17" s="2" t="s">
        <v>121</v>
      </c>
      <c r="D17" s="2" t="n">
        <v>128591</v>
      </c>
      <c r="E17" s="3" t="s">
        <v>507</v>
      </c>
      <c r="F17" s="3" t="s">
        <v>479</v>
      </c>
      <c r="G17" s="3" t="s">
        <v>893</v>
      </c>
      <c r="H17" s="2" t="str">
        <f aca="true">OFFSET('Installed Sensors'!$B$1,MATCH($E17,'Installed Sensors'!$C:$C,0)-1,0)</f>
        <v>Far South</v>
      </c>
      <c r="I17" s="2" t="n">
        <f aca="true">OFFSET('Installed Sensors'!$E$1,MATCH($E17,'Installed Sensors'!$C:$C,0)-1,0)</f>
        <v>43207</v>
      </c>
      <c r="J17" s="2" t="n">
        <v>39.93312</v>
      </c>
      <c r="K17" s="2" t="n">
        <v>-82.96629</v>
      </c>
      <c r="L17" s="231" t="n">
        <v>44754</v>
      </c>
      <c r="M17" s="234" t="n">
        <v>45364</v>
      </c>
    </row>
    <row r="18" customFormat="false" ht="12.75" hidden="false" customHeight="false" outlineLevel="0" collapsed="false">
      <c r="A18" s="2" t="s">
        <v>894</v>
      </c>
      <c r="B18" s="2" t="s">
        <v>861</v>
      </c>
      <c r="C18" s="2" t="s">
        <v>124</v>
      </c>
      <c r="D18" s="2" t="n">
        <v>33837</v>
      </c>
      <c r="E18" s="3" t="s">
        <v>862</v>
      </c>
      <c r="F18" s="3" t="s">
        <v>863</v>
      </c>
      <c r="G18" s="3" t="s">
        <v>895</v>
      </c>
      <c r="H18" s="2" t="e">
        <f aca="true">OFFSET('Installed Sensors'!$B$1,MATCH($E18,'Installed Sensors'!$C:$C,0)-1,0)</f>
        <v>#N/A</v>
      </c>
      <c r="I18" s="2" t="e">
        <f aca="true">OFFSET('Installed Sensors'!$E$1,MATCH($E18,'Installed Sensors'!$C:$C,0)-1,0)</f>
        <v>#N/A</v>
      </c>
      <c r="J18" s="2" t="n">
        <v>40.111164</v>
      </c>
      <c r="K18" s="2" t="n">
        <v>-83.0654</v>
      </c>
      <c r="L18" s="231" t="n">
        <v>44400</v>
      </c>
      <c r="M18" s="231" t="n">
        <v>44414</v>
      </c>
    </row>
    <row r="19" customFormat="false" ht="12.75" hidden="false" customHeight="false" outlineLevel="0" collapsed="false">
      <c r="A19" s="2" t="s">
        <v>896</v>
      </c>
      <c r="B19" s="2" t="s">
        <v>861</v>
      </c>
      <c r="C19" s="2" t="s">
        <v>131</v>
      </c>
      <c r="D19" s="2" t="n">
        <v>33783</v>
      </c>
      <c r="E19" s="3" t="s">
        <v>862</v>
      </c>
      <c r="F19" s="3" t="s">
        <v>863</v>
      </c>
      <c r="G19" s="3" t="s">
        <v>897</v>
      </c>
      <c r="H19" s="2" t="e">
        <f aca="true">OFFSET('Installed Sensors'!$B$1,MATCH($E19,'Installed Sensors'!$C:$C,0)-1,0)</f>
        <v>#N/A</v>
      </c>
      <c r="I19" s="2" t="e">
        <f aca="true">OFFSET('Installed Sensors'!$E$1,MATCH($E19,'Installed Sensors'!$C:$C,0)-1,0)</f>
        <v>#N/A</v>
      </c>
      <c r="J19" s="2" t="n">
        <v>40.111164</v>
      </c>
      <c r="K19" s="2" t="n">
        <v>-83.0654</v>
      </c>
      <c r="L19" s="231" t="n">
        <v>44414</v>
      </c>
      <c r="M19" s="231" t="n">
        <v>44428</v>
      </c>
    </row>
    <row r="20" customFormat="false" ht="12.75" hidden="false" customHeight="false" outlineLevel="0" collapsed="false">
      <c r="A20" s="2" t="s">
        <v>898</v>
      </c>
      <c r="B20" s="2" t="s">
        <v>861</v>
      </c>
      <c r="C20" s="2" t="s">
        <v>134</v>
      </c>
      <c r="D20" s="2" t="n">
        <v>104668</v>
      </c>
      <c r="E20" s="3" t="s">
        <v>862</v>
      </c>
      <c r="F20" s="3" t="s">
        <v>863</v>
      </c>
      <c r="G20" s="3" t="s">
        <v>899</v>
      </c>
      <c r="H20" s="2" t="e">
        <f aca="true">OFFSET('Installed Sensors'!$B$1,MATCH($E20,'Installed Sensors'!$C:$C,0)-1,0)</f>
        <v>#N/A</v>
      </c>
      <c r="I20" s="2" t="e">
        <f aca="true">OFFSET('Installed Sensors'!$E$1,MATCH($E20,'Installed Sensors'!$C:$C,0)-1,0)</f>
        <v>#N/A</v>
      </c>
      <c r="J20" s="2" t="n">
        <v>40.111164</v>
      </c>
      <c r="K20" s="2" t="n">
        <v>-83.0654</v>
      </c>
      <c r="L20" s="231" t="n">
        <v>44428</v>
      </c>
      <c r="M20" s="231" t="n">
        <v>44442</v>
      </c>
    </row>
    <row r="21" customFormat="false" ht="12.75" hidden="false" customHeight="false" outlineLevel="0" collapsed="false">
      <c r="A21" s="2" t="s">
        <v>900</v>
      </c>
      <c r="B21" s="2" t="s">
        <v>861</v>
      </c>
      <c r="C21" s="2" t="s">
        <v>136</v>
      </c>
      <c r="D21" s="2" t="n">
        <v>104840</v>
      </c>
      <c r="E21" s="3" t="s">
        <v>862</v>
      </c>
      <c r="F21" s="3" t="s">
        <v>863</v>
      </c>
      <c r="G21" s="3" t="s">
        <v>901</v>
      </c>
      <c r="H21" s="2" t="e">
        <f aca="true">OFFSET('Installed Sensors'!$B$1,MATCH($E21,'Installed Sensors'!$C:$C,0)-1,0)</f>
        <v>#N/A</v>
      </c>
      <c r="I21" s="2" t="e">
        <f aca="true">OFFSET('Installed Sensors'!$E$1,MATCH($E21,'Installed Sensors'!$C:$C,0)-1,0)</f>
        <v>#N/A</v>
      </c>
      <c r="J21" s="2" t="n">
        <v>40.111164</v>
      </c>
      <c r="K21" s="2" t="n">
        <v>-83.0654</v>
      </c>
      <c r="L21" s="231" t="n">
        <v>44428</v>
      </c>
      <c r="M21" s="231" t="n">
        <v>44442</v>
      </c>
    </row>
    <row r="22" customFormat="false" ht="12.75" hidden="false" customHeight="false" outlineLevel="0" collapsed="false">
      <c r="A22" s="2" t="s">
        <v>902</v>
      </c>
      <c r="B22" s="3" t="s">
        <v>857</v>
      </c>
      <c r="C22" s="2" t="s">
        <v>136</v>
      </c>
      <c r="D22" s="2" t="n">
        <v>137002</v>
      </c>
      <c r="E22" s="3" t="s">
        <v>507</v>
      </c>
      <c r="F22" s="3" t="s">
        <v>479</v>
      </c>
      <c r="G22" s="3" t="s">
        <v>893</v>
      </c>
      <c r="H22" s="2" t="str">
        <f aca="true">OFFSET('Installed Sensors'!$B$1,MATCH($E22,'Installed Sensors'!$C:$C,0)-1,0)</f>
        <v>Far South</v>
      </c>
      <c r="I22" s="2" t="n">
        <f aca="true">OFFSET('Installed Sensors'!$E$1,MATCH($E22,'Installed Sensors'!$C:$C,0)-1,0)</f>
        <v>43207</v>
      </c>
      <c r="J22" s="2" t="n">
        <v>39.93312</v>
      </c>
      <c r="K22" s="2" t="n">
        <v>-82.96629</v>
      </c>
      <c r="L22" s="233" t="n">
        <v>44562</v>
      </c>
      <c r="M22" s="231" t="n">
        <v>44754</v>
      </c>
    </row>
    <row r="23" customFormat="false" ht="12.75" hidden="false" customHeight="false" outlineLevel="0" collapsed="false">
      <c r="A23" s="2" t="s">
        <v>903</v>
      </c>
      <c r="B23" s="3" t="s">
        <v>857</v>
      </c>
      <c r="C23" s="2" t="s">
        <v>136</v>
      </c>
      <c r="D23" s="2" t="n">
        <v>149716</v>
      </c>
      <c r="E23" s="3" t="s">
        <v>904</v>
      </c>
      <c r="F23" s="3" t="s">
        <v>486</v>
      </c>
      <c r="G23" s="3" t="s">
        <v>905</v>
      </c>
      <c r="H23" s="2" t="str">
        <f aca="true">OFFSET('Installed Sensors'!$B$1,MATCH($E23,'Installed Sensors'!$C:$C,0)-1,0)</f>
        <v>Whitehall</v>
      </c>
      <c r="I23" s="2" t="n">
        <f aca="true">OFFSET('Installed Sensors'!$E$1,MATCH($E23,'Installed Sensors'!$C:$C,0)-1,0)</f>
        <v>43213</v>
      </c>
      <c r="J23" s="2" t="n">
        <v>39.975647</v>
      </c>
      <c r="K23" s="2" t="n">
        <v>-82.883125</v>
      </c>
      <c r="L23" s="231" t="n">
        <v>44832</v>
      </c>
      <c r="M23" s="234" t="n">
        <v>45434</v>
      </c>
    </row>
    <row r="24" customFormat="false" ht="12.75" hidden="false" customHeight="false" outlineLevel="0" collapsed="false">
      <c r="A24" s="2" t="s">
        <v>906</v>
      </c>
      <c r="B24" s="2" t="s">
        <v>861</v>
      </c>
      <c r="C24" s="2" t="s">
        <v>140</v>
      </c>
      <c r="D24" s="2" t="n">
        <v>104154</v>
      </c>
      <c r="E24" s="3" t="s">
        <v>862</v>
      </c>
      <c r="F24" s="3" t="s">
        <v>863</v>
      </c>
      <c r="G24" s="3" t="s">
        <v>907</v>
      </c>
      <c r="H24" s="2" t="e">
        <f aca="true">OFFSET('Installed Sensors'!$B$1,MATCH($E24,'Installed Sensors'!$C:$C,0)-1,0)</f>
        <v>#N/A</v>
      </c>
      <c r="I24" s="2" t="e">
        <f aca="true">OFFSET('Installed Sensors'!$E$1,MATCH($E24,'Installed Sensors'!$C:$C,0)-1,0)</f>
        <v>#N/A</v>
      </c>
      <c r="J24" s="2" t="n">
        <v>40.111164</v>
      </c>
      <c r="K24" s="2" t="n">
        <v>-83.0654</v>
      </c>
      <c r="L24" s="231" t="n">
        <v>44428</v>
      </c>
      <c r="M24" s="231" t="n">
        <v>44442</v>
      </c>
    </row>
    <row r="25" customFormat="false" ht="12.75" hidden="false" customHeight="false" outlineLevel="0" collapsed="false">
      <c r="A25" s="235" t="s">
        <v>908</v>
      </c>
      <c r="B25" s="3" t="s">
        <v>857</v>
      </c>
      <c r="C25" s="2" t="s">
        <v>140</v>
      </c>
      <c r="D25" s="2" t="n">
        <v>128679</v>
      </c>
      <c r="E25" s="236" t="s">
        <v>515</v>
      </c>
      <c r="F25" s="236" t="s">
        <v>909</v>
      </c>
      <c r="G25" s="236" t="s">
        <v>910</v>
      </c>
      <c r="H25" s="235" t="str">
        <f aca="true">OFFSET('Installed Sensors'!$B$1,MATCH($E25,'Installed Sensors'!$C:$C,0)-1,0)</f>
        <v>Clintonville</v>
      </c>
      <c r="I25" s="235" t="n">
        <f aca="true">OFFSET('Installed Sensors'!$E$1,MATCH($E25,'Installed Sensors'!$C:$C,0)-1,0)</f>
        <v>43214</v>
      </c>
      <c r="J25" s="235" t="n">
        <v>40.070442</v>
      </c>
      <c r="K25" s="235" t="n">
        <v>-83.01968</v>
      </c>
      <c r="L25" s="237" t="n">
        <v>44509</v>
      </c>
      <c r="M25" s="234" t="n">
        <v>45407</v>
      </c>
    </row>
    <row r="26" customFormat="false" ht="12.75" hidden="false" customHeight="false" outlineLevel="0" collapsed="false">
      <c r="A26" s="2" t="s">
        <v>911</v>
      </c>
      <c r="B26" s="2" t="s">
        <v>861</v>
      </c>
      <c r="C26" s="2" t="s">
        <v>144</v>
      </c>
      <c r="D26" s="2" t="n">
        <v>104258</v>
      </c>
      <c r="E26" s="3" t="s">
        <v>862</v>
      </c>
      <c r="F26" s="3" t="s">
        <v>863</v>
      </c>
      <c r="G26" s="3" t="s">
        <v>912</v>
      </c>
      <c r="H26" s="2" t="e">
        <f aca="true">OFFSET('Installed Sensors'!$B$1,MATCH($E26,'Installed Sensors'!$C:$C,0)-1,0)</f>
        <v>#N/A</v>
      </c>
      <c r="I26" s="2" t="e">
        <f aca="true">OFFSET('Installed Sensors'!$E$1,MATCH($E26,'Installed Sensors'!$C:$C,0)-1,0)</f>
        <v>#N/A</v>
      </c>
      <c r="J26" s="2" t="n">
        <v>40.111164</v>
      </c>
      <c r="K26" s="2" t="n">
        <v>-83.0654</v>
      </c>
      <c r="L26" s="231" t="n">
        <v>44428</v>
      </c>
      <c r="M26" s="231" t="n">
        <v>44442</v>
      </c>
    </row>
    <row r="27" customFormat="false" ht="35.05" hidden="false" customHeight="false" outlineLevel="0" collapsed="false">
      <c r="A27" s="2" t="s">
        <v>913</v>
      </c>
      <c r="B27" s="3" t="s">
        <v>857</v>
      </c>
      <c r="C27" s="2" t="s">
        <v>144</v>
      </c>
      <c r="D27" s="2" t="n">
        <v>137008</v>
      </c>
      <c r="E27" s="3" t="s">
        <v>471</v>
      </c>
      <c r="F27" s="3" t="s">
        <v>858</v>
      </c>
      <c r="G27" s="3" t="s">
        <v>472</v>
      </c>
      <c r="H27" s="2" t="str">
        <f aca="true">OFFSET('Installed Sensors'!$B$1,MATCH($E27,'Installed Sensors'!$C:$C,0)-1,0)</f>
        <v>Old Town East</v>
      </c>
      <c r="I27" s="2" t="n">
        <f aca="true">OFFSET('Installed Sensors'!$E$1,MATCH($E27,'Installed Sensors'!$C:$C,0)-1,0)</f>
        <v>43203</v>
      </c>
      <c r="J27" s="2" t="n">
        <v>39.9668585</v>
      </c>
      <c r="K27" s="2" t="n">
        <v>-82.9522912</v>
      </c>
      <c r="L27" s="231" t="n">
        <v>44623</v>
      </c>
      <c r="M27" s="234" t="n">
        <v>45364</v>
      </c>
    </row>
    <row r="28" customFormat="false" ht="12.75" hidden="false" customHeight="false" outlineLevel="0" collapsed="false">
      <c r="A28" s="2" t="s">
        <v>914</v>
      </c>
      <c r="B28" s="2" t="s">
        <v>861</v>
      </c>
      <c r="C28" s="2" t="s">
        <v>148</v>
      </c>
      <c r="D28" s="2" t="n">
        <v>104268</v>
      </c>
      <c r="E28" s="3" t="s">
        <v>862</v>
      </c>
      <c r="F28" s="3" t="s">
        <v>863</v>
      </c>
      <c r="G28" s="3" t="s">
        <v>915</v>
      </c>
      <c r="H28" s="2" t="e">
        <f aca="true">OFFSET('Installed Sensors'!$B$1,MATCH($E28,'Installed Sensors'!$C:$C,0)-1,0)</f>
        <v>#N/A</v>
      </c>
      <c r="I28" s="2" t="e">
        <f aca="true">OFFSET('Installed Sensors'!$E$1,MATCH($E28,'Installed Sensors'!$C:$C,0)-1,0)</f>
        <v>#N/A</v>
      </c>
      <c r="J28" s="2" t="n">
        <v>40.111164</v>
      </c>
      <c r="K28" s="2" t="n">
        <v>-83.0654</v>
      </c>
      <c r="L28" s="231" t="n">
        <v>44428</v>
      </c>
      <c r="M28" s="231" t="n">
        <v>44442</v>
      </c>
    </row>
    <row r="29" customFormat="false" ht="12.75" hidden="false" customHeight="false" outlineLevel="0" collapsed="false">
      <c r="A29" s="2" t="s">
        <v>916</v>
      </c>
      <c r="B29" s="3" t="s">
        <v>857</v>
      </c>
      <c r="C29" s="2" t="s">
        <v>148</v>
      </c>
      <c r="D29" s="2" t="n">
        <v>140106</v>
      </c>
      <c r="E29" s="3" t="s">
        <v>917</v>
      </c>
      <c r="F29" s="3" t="s">
        <v>486</v>
      </c>
      <c r="G29" s="3" t="s">
        <v>918</v>
      </c>
      <c r="H29" s="2" t="e">
        <f aca="true">OFFSET('Installed Sensors'!$B$1,MATCH($E29,'Installed Sensors'!$C:$C,0)-1,0)</f>
        <v>#N/A</v>
      </c>
      <c r="I29" s="2" t="e">
        <f aca="true">OFFSET('Installed Sensors'!$E$1,MATCH($E29,'Installed Sensors'!$C:$C,0)-1,0)</f>
        <v>#N/A</v>
      </c>
      <c r="J29" s="2" t="n">
        <v>39.889465</v>
      </c>
      <c r="K29" s="2" t="n">
        <v>-82.996895</v>
      </c>
      <c r="L29" s="233" t="n">
        <v>44562</v>
      </c>
      <c r="M29" s="232"/>
    </row>
    <row r="30" customFormat="false" ht="12.75" hidden="false" customHeight="false" outlineLevel="0" collapsed="false">
      <c r="A30" s="2" t="s">
        <v>919</v>
      </c>
      <c r="B30" s="2" t="s">
        <v>861</v>
      </c>
      <c r="C30" s="2" t="s">
        <v>151</v>
      </c>
      <c r="D30" s="2" t="n">
        <v>104788</v>
      </c>
      <c r="E30" s="3" t="s">
        <v>862</v>
      </c>
      <c r="F30" s="3" t="s">
        <v>863</v>
      </c>
      <c r="G30" s="3" t="s">
        <v>920</v>
      </c>
      <c r="H30" s="2" t="e">
        <f aca="true">OFFSET('Installed Sensors'!$B$1,MATCH($E30,'Installed Sensors'!$C:$C,0)-1,0)</f>
        <v>#N/A</v>
      </c>
      <c r="I30" s="2" t="e">
        <f aca="true">OFFSET('Installed Sensors'!$E$1,MATCH($E30,'Installed Sensors'!$C:$C,0)-1,0)</f>
        <v>#N/A</v>
      </c>
      <c r="J30" s="2" t="n">
        <v>40.111164</v>
      </c>
      <c r="K30" s="2" t="n">
        <v>-83.0654</v>
      </c>
      <c r="L30" s="231" t="n">
        <v>44428</v>
      </c>
      <c r="M30" s="231" t="n">
        <v>44442</v>
      </c>
    </row>
    <row r="31" customFormat="false" ht="12.75" hidden="false" customHeight="false" outlineLevel="0" collapsed="false">
      <c r="A31" s="2" t="s">
        <v>921</v>
      </c>
      <c r="B31" s="3" t="s">
        <v>857</v>
      </c>
      <c r="C31" s="2" t="s">
        <v>151</v>
      </c>
      <c r="D31" s="2" t="n">
        <v>128685</v>
      </c>
      <c r="E31" s="3" t="s">
        <v>525</v>
      </c>
      <c r="F31" s="3" t="s">
        <v>909</v>
      </c>
      <c r="G31" s="3" t="s">
        <v>922</v>
      </c>
      <c r="H31" s="2" t="str">
        <f aca="true">OFFSET('Installed Sensors'!$B$1,MATCH($E31,'Installed Sensors'!$C:$C,0)-1,0)</f>
        <v>Linden</v>
      </c>
      <c r="I31" s="2" t="n">
        <f aca="true">OFFSET('Installed Sensors'!$E$1,MATCH($E31,'Installed Sensors'!$C:$C,0)-1,0)</f>
        <v>43211</v>
      </c>
      <c r="J31" s="2" t="n">
        <v>39.993523</v>
      </c>
      <c r="K31" s="2" t="n">
        <v>-82.98157</v>
      </c>
      <c r="L31" s="231" t="n">
        <v>44509</v>
      </c>
      <c r="M31" s="234" t="n">
        <v>45407</v>
      </c>
    </row>
    <row r="32" customFormat="false" ht="12.75" hidden="false" customHeight="false" outlineLevel="0" collapsed="false">
      <c r="A32" s="2" t="s">
        <v>923</v>
      </c>
      <c r="B32" s="2" t="s">
        <v>861</v>
      </c>
      <c r="C32" s="2" t="s">
        <v>154</v>
      </c>
      <c r="D32" s="2" t="n">
        <v>104826</v>
      </c>
      <c r="E32" s="3" t="s">
        <v>862</v>
      </c>
      <c r="F32" s="3" t="s">
        <v>863</v>
      </c>
      <c r="G32" s="3" t="s">
        <v>924</v>
      </c>
      <c r="H32" s="2" t="e">
        <f aca="true">OFFSET('Installed Sensors'!$B$1,MATCH($E32,'Installed Sensors'!$C:$C,0)-1,0)</f>
        <v>#N/A</v>
      </c>
      <c r="I32" s="2" t="e">
        <f aca="true">OFFSET('Installed Sensors'!$E$1,MATCH($E32,'Installed Sensors'!$C:$C,0)-1,0)</f>
        <v>#N/A</v>
      </c>
      <c r="J32" s="2" t="n">
        <v>40.111164</v>
      </c>
      <c r="K32" s="2" t="n">
        <v>-83.0654</v>
      </c>
      <c r="L32" s="231" t="n">
        <v>44470</v>
      </c>
      <c r="M32" s="231" t="n">
        <v>44491</v>
      </c>
    </row>
    <row r="33" customFormat="false" ht="12.75" hidden="false" customHeight="false" outlineLevel="0" collapsed="false">
      <c r="A33" s="2" t="s">
        <v>925</v>
      </c>
      <c r="B33" s="3" t="s">
        <v>857</v>
      </c>
      <c r="C33" s="2" t="s">
        <v>154</v>
      </c>
      <c r="D33" s="2" t="n">
        <v>147240</v>
      </c>
      <c r="E33" s="3" t="s">
        <v>926</v>
      </c>
      <c r="F33" s="3" t="s">
        <v>927</v>
      </c>
      <c r="G33" s="3" t="s">
        <v>927</v>
      </c>
      <c r="H33" s="2" t="e">
        <f aca="true">OFFSET('Installed Sensors'!$B$1,MATCH($E33,'Installed Sensors'!$C:$C,0)-1,0)</f>
        <v>#N/A</v>
      </c>
      <c r="I33" s="2" t="e">
        <f aca="true">OFFSET('Installed Sensors'!$E$1,MATCH($E33,'Installed Sensors'!$C:$C,0)-1,0)</f>
        <v>#N/A</v>
      </c>
      <c r="J33" s="2" t="n">
        <v>39.9575</v>
      </c>
      <c r="K33" s="2" t="n">
        <v>-82.9393</v>
      </c>
      <c r="L33" s="231" t="n">
        <v>44692</v>
      </c>
      <c r="M33" s="232"/>
    </row>
    <row r="34" customFormat="false" ht="12.75" hidden="false" customHeight="false" outlineLevel="0" collapsed="false">
      <c r="A34" s="2" t="s">
        <v>928</v>
      </c>
      <c r="B34" s="2" t="s">
        <v>861</v>
      </c>
      <c r="C34" s="2" t="s">
        <v>157</v>
      </c>
      <c r="D34" s="2"/>
      <c r="E34" s="3" t="s">
        <v>862</v>
      </c>
      <c r="F34" s="3" t="s">
        <v>863</v>
      </c>
      <c r="G34" s="3" t="s">
        <v>929</v>
      </c>
      <c r="H34" s="2" t="e">
        <f aca="true">OFFSET('Installed Sensors'!$B$1,MATCH($E34,'Installed Sensors'!$C:$C,0)-1,0)</f>
        <v>#N/A</v>
      </c>
      <c r="I34" s="2" t="e">
        <f aca="true">OFFSET('Installed Sensors'!$E$1,MATCH($E34,'Installed Sensors'!$C:$C,0)-1,0)</f>
        <v>#N/A</v>
      </c>
      <c r="J34" s="2" t="n">
        <v>40.111164</v>
      </c>
      <c r="K34" s="2" t="n">
        <v>-83.0654</v>
      </c>
      <c r="L34" s="231" t="n">
        <v>44470</v>
      </c>
      <c r="M34" s="231" t="n">
        <v>44491</v>
      </c>
    </row>
    <row r="35" customFormat="false" ht="12.75" hidden="false" customHeight="false" outlineLevel="0" collapsed="false">
      <c r="A35" s="2" t="s">
        <v>930</v>
      </c>
      <c r="B35" s="3" t="s">
        <v>857</v>
      </c>
      <c r="C35" s="2" t="s">
        <v>157</v>
      </c>
      <c r="D35" s="2" t="n">
        <v>104830</v>
      </c>
      <c r="E35" s="3" t="s">
        <v>534</v>
      </c>
      <c r="F35" s="3" t="s">
        <v>909</v>
      </c>
      <c r="G35" s="3" t="s">
        <v>470</v>
      </c>
      <c r="H35" s="2" t="str">
        <f aca="true">OFFSET('Installed Sensors'!$B$1,MATCH($E35,'Installed Sensors'!$C:$C,0)-1,0)</f>
        <v>Old Town East</v>
      </c>
      <c r="I35" s="2" t="n">
        <f aca="true">OFFSET('Installed Sensors'!$E$1,MATCH($E35,'Installed Sensors'!$C:$C,0)-1,0)</f>
        <v>43205</v>
      </c>
      <c r="J35" s="2" t="n">
        <v>39.957497</v>
      </c>
      <c r="K35" s="2" t="n">
        <v>-82.96899</v>
      </c>
      <c r="L35" s="233" t="n">
        <v>44562</v>
      </c>
      <c r="M35" s="234" t="n">
        <v>45407</v>
      </c>
    </row>
    <row r="36" customFormat="false" ht="12.75" hidden="false" customHeight="false" outlineLevel="0" collapsed="false">
      <c r="A36" s="2" t="s">
        <v>931</v>
      </c>
      <c r="B36" s="2" t="s">
        <v>861</v>
      </c>
      <c r="C36" s="2" t="s">
        <v>160</v>
      </c>
      <c r="D36" s="2" t="n">
        <v>104134</v>
      </c>
      <c r="E36" s="3" t="s">
        <v>862</v>
      </c>
      <c r="F36" s="3" t="s">
        <v>863</v>
      </c>
      <c r="G36" s="3" t="s">
        <v>932</v>
      </c>
      <c r="H36" s="2" t="e">
        <f aca="true">OFFSET('Installed Sensors'!$B$1,MATCH($E36,'Installed Sensors'!$C:$C,0)-1,0)</f>
        <v>#N/A</v>
      </c>
      <c r="I36" s="2" t="e">
        <f aca="true">OFFSET('Installed Sensors'!$E$1,MATCH($E36,'Installed Sensors'!$C:$C,0)-1,0)</f>
        <v>#N/A</v>
      </c>
      <c r="J36" s="2" t="n">
        <v>40.111164</v>
      </c>
      <c r="K36" s="2" t="n">
        <v>-83.0654</v>
      </c>
      <c r="L36" s="231" t="n">
        <v>44449</v>
      </c>
      <c r="M36" s="231" t="n">
        <v>44470</v>
      </c>
    </row>
    <row r="37" customFormat="false" ht="12.75" hidden="false" customHeight="false" outlineLevel="0" collapsed="false">
      <c r="A37" s="2" t="s">
        <v>933</v>
      </c>
      <c r="B37" s="3" t="s">
        <v>857</v>
      </c>
      <c r="C37" s="2" t="s">
        <v>160</v>
      </c>
      <c r="D37" s="2" t="n">
        <v>134632</v>
      </c>
      <c r="E37" s="3" t="s">
        <v>536</v>
      </c>
      <c r="F37" s="3" t="s">
        <v>934</v>
      </c>
      <c r="G37" s="3" t="s">
        <v>935</v>
      </c>
      <c r="H37" s="2" t="str">
        <f aca="true">OFFSET('Installed Sensors'!$B$1,MATCH($E37,'Installed Sensors'!$C:$C,0)-1,0)</f>
        <v>Clintonville</v>
      </c>
      <c r="I37" s="2" t="n">
        <f aca="true">OFFSET('Installed Sensors'!$E$1,MATCH($E37,'Installed Sensors'!$C:$C,0)-1,0)</f>
        <v>43202</v>
      </c>
      <c r="J37" s="2" t="n">
        <v>40.024006</v>
      </c>
      <c r="K37" s="2" t="n">
        <v>-83.0077</v>
      </c>
      <c r="L37" s="233" t="n">
        <v>44562</v>
      </c>
      <c r="M37" s="234" t="n">
        <v>44937</v>
      </c>
    </row>
    <row r="38" customFormat="false" ht="12.75" hidden="false" customHeight="false" outlineLevel="0" collapsed="false">
      <c r="A38" s="2" t="s">
        <v>936</v>
      </c>
      <c r="B38" s="2" t="s">
        <v>861</v>
      </c>
      <c r="C38" s="2" t="s">
        <v>164</v>
      </c>
      <c r="D38" s="2" t="n">
        <v>104132</v>
      </c>
      <c r="E38" s="3" t="s">
        <v>862</v>
      </c>
      <c r="F38" s="3" t="s">
        <v>863</v>
      </c>
      <c r="G38" s="3" t="s">
        <v>937</v>
      </c>
      <c r="H38" s="2" t="e">
        <f aca="true">OFFSET('Installed Sensors'!$B$1,MATCH($E38,'Installed Sensors'!$C:$C,0)-1,0)</f>
        <v>#N/A</v>
      </c>
      <c r="I38" s="2" t="e">
        <f aca="true">OFFSET('Installed Sensors'!$E$1,MATCH($E38,'Installed Sensors'!$C:$C,0)-1,0)</f>
        <v>#N/A</v>
      </c>
      <c r="J38" s="2" t="n">
        <v>40.111164</v>
      </c>
      <c r="K38" s="2" t="n">
        <v>-83.0654</v>
      </c>
      <c r="L38" s="231" t="n">
        <v>44449</v>
      </c>
      <c r="M38" s="231" t="n">
        <v>44470</v>
      </c>
    </row>
    <row r="39" customFormat="false" ht="12.75" hidden="false" customHeight="false" outlineLevel="0" collapsed="false">
      <c r="A39" s="2" t="s">
        <v>938</v>
      </c>
      <c r="B39" s="3" t="s">
        <v>857</v>
      </c>
      <c r="C39" s="2" t="s">
        <v>164</v>
      </c>
      <c r="D39" s="2" t="n">
        <v>131379</v>
      </c>
      <c r="E39" s="3" t="s">
        <v>939</v>
      </c>
      <c r="F39" s="3" t="s">
        <v>540</v>
      </c>
      <c r="G39" s="3" t="s">
        <v>540</v>
      </c>
      <c r="H39" s="2" t="e">
        <f aca="true">OFFSET('Installed Sensors'!$B$1,MATCH($E39,'Installed Sensors'!$C:$C,0)-1,0)</f>
        <v>#N/A</v>
      </c>
      <c r="I39" s="2" t="e">
        <f aca="true">OFFSET('Installed Sensors'!$E$1,MATCH($E39,'Installed Sensors'!$C:$C,0)-1,0)</f>
        <v>#N/A</v>
      </c>
      <c r="J39" s="2" t="n">
        <v>39.96028</v>
      </c>
      <c r="K39" s="2" t="n">
        <v>-83.006294</v>
      </c>
      <c r="L39" s="231" t="n">
        <v>44673</v>
      </c>
      <c r="M39" s="232"/>
    </row>
    <row r="40" customFormat="false" ht="12.75" hidden="false" customHeight="false" outlineLevel="0" collapsed="false">
      <c r="A40" s="2" t="s">
        <v>940</v>
      </c>
      <c r="B40" s="2" t="s">
        <v>861</v>
      </c>
      <c r="C40" s="2" t="s">
        <v>167</v>
      </c>
      <c r="D40" s="2" t="n">
        <v>104178</v>
      </c>
      <c r="E40" s="3" t="s">
        <v>862</v>
      </c>
      <c r="F40" s="3" t="s">
        <v>863</v>
      </c>
      <c r="G40" s="3" t="s">
        <v>941</v>
      </c>
      <c r="H40" s="2" t="e">
        <f aca="true">OFFSET('Installed Sensors'!$B$1,MATCH($E40,'Installed Sensors'!$C:$C,0)-1,0)</f>
        <v>#N/A</v>
      </c>
      <c r="I40" s="2" t="e">
        <f aca="true">OFFSET('Installed Sensors'!$E$1,MATCH($E40,'Installed Sensors'!$C:$C,0)-1,0)</f>
        <v>#N/A</v>
      </c>
      <c r="J40" s="2" t="n">
        <v>40.111164</v>
      </c>
      <c r="K40" s="2" t="n">
        <v>-83.0654</v>
      </c>
      <c r="L40" s="231" t="n">
        <v>44449</v>
      </c>
      <c r="M40" s="231" t="n">
        <v>44470</v>
      </c>
    </row>
    <row r="41" customFormat="false" ht="12.75" hidden="false" customHeight="false" outlineLevel="0" collapsed="false">
      <c r="A41" s="2" t="s">
        <v>942</v>
      </c>
      <c r="B41" s="3" t="s">
        <v>857</v>
      </c>
      <c r="C41" s="2" t="s">
        <v>167</v>
      </c>
      <c r="D41" s="2" t="n">
        <v>140404</v>
      </c>
      <c r="E41" s="3" t="s">
        <v>943</v>
      </c>
      <c r="F41" s="3" t="s">
        <v>479</v>
      </c>
      <c r="G41" s="3" t="s">
        <v>491</v>
      </c>
      <c r="H41" s="2" t="str">
        <f aca="true">OFFSET('Installed Sensors'!$B$1,MATCH($E41,'Installed Sensors'!$C:$C,0)-1,0)</f>
        <v>Grandview Heights</v>
      </c>
      <c r="I41" s="2" t="n">
        <f aca="true">OFFSET('Installed Sensors'!$E$1,MATCH($E41,'Installed Sensors'!$C:$C,0)-1,0)</f>
        <v>43212</v>
      </c>
      <c r="J41" s="2" t="n">
        <v>39.982983</v>
      </c>
      <c r="K41" s="2" t="n">
        <v>-83.05434</v>
      </c>
      <c r="L41" s="233" t="n">
        <v>44562</v>
      </c>
      <c r="M41" s="234" t="n">
        <v>45523</v>
      </c>
    </row>
    <row r="42" customFormat="false" ht="12.75" hidden="false" customHeight="false" outlineLevel="0" collapsed="false">
      <c r="A42" s="2" t="s">
        <v>944</v>
      </c>
      <c r="B42" s="2" t="s">
        <v>861</v>
      </c>
      <c r="C42" s="2" t="s">
        <v>172</v>
      </c>
      <c r="D42" s="2" t="n">
        <v>104770</v>
      </c>
      <c r="E42" s="3" t="s">
        <v>862</v>
      </c>
      <c r="F42" s="3" t="s">
        <v>863</v>
      </c>
      <c r="G42" s="3" t="s">
        <v>945</v>
      </c>
      <c r="H42" s="2" t="e">
        <f aca="true">OFFSET('Installed Sensors'!$B$1,MATCH($E42,'Installed Sensors'!$C:$C,0)-1,0)</f>
        <v>#N/A</v>
      </c>
      <c r="I42" s="2" t="e">
        <f aca="true">OFFSET('Installed Sensors'!$E$1,MATCH($E42,'Installed Sensors'!$C:$C,0)-1,0)</f>
        <v>#N/A</v>
      </c>
      <c r="J42" s="2" t="n">
        <v>40.111164</v>
      </c>
      <c r="K42" s="2" t="n">
        <v>-83.0654</v>
      </c>
      <c r="L42" s="231" t="n">
        <v>44449</v>
      </c>
      <c r="M42" s="231" t="n">
        <v>44470</v>
      </c>
    </row>
    <row r="43" customFormat="false" ht="12.75" hidden="false" customHeight="false" outlineLevel="0" collapsed="false">
      <c r="A43" s="2" t="s">
        <v>946</v>
      </c>
      <c r="B43" s="3" t="s">
        <v>857</v>
      </c>
      <c r="C43" s="2" t="s">
        <v>172</v>
      </c>
      <c r="D43" s="2" t="n">
        <v>139366</v>
      </c>
      <c r="E43" s="3" t="s">
        <v>554</v>
      </c>
      <c r="F43" s="3" t="s">
        <v>479</v>
      </c>
      <c r="G43" s="3" t="s">
        <v>553</v>
      </c>
      <c r="H43" s="2" t="str">
        <f aca="true">OFFSET('Installed Sensors'!$B$1,MATCH($E43,'Installed Sensors'!$C:$C,0)-1,0)</f>
        <v>Eastland</v>
      </c>
      <c r="I43" s="2" t="n">
        <f aca="true">OFFSET('Installed Sensors'!$E$1,MATCH($E43,'Installed Sensors'!$C:$C,0)-1,0)</f>
        <v>43232</v>
      </c>
      <c r="J43" s="2" t="n">
        <v>39.92103</v>
      </c>
      <c r="K43" s="2" t="n">
        <v>-82.89317</v>
      </c>
      <c r="L43" s="233" t="n">
        <v>44562</v>
      </c>
      <c r="M43" s="234" t="n">
        <v>44974</v>
      </c>
    </row>
    <row r="44" customFormat="false" ht="12.75" hidden="false" customHeight="false" outlineLevel="0" collapsed="false">
      <c r="A44" s="2" t="s">
        <v>947</v>
      </c>
      <c r="B44" s="3" t="s">
        <v>857</v>
      </c>
      <c r="C44" s="2" t="s">
        <v>172</v>
      </c>
      <c r="D44" s="2" t="n">
        <v>178397</v>
      </c>
      <c r="E44" s="238" t="s">
        <v>948</v>
      </c>
      <c r="F44" s="238" t="s">
        <v>934</v>
      </c>
      <c r="G44" s="3" t="s">
        <v>935</v>
      </c>
      <c r="H44" s="2" t="s">
        <v>514</v>
      </c>
      <c r="I44" s="2" t="n">
        <v>43202</v>
      </c>
      <c r="J44" s="2" t="n">
        <v>40.024006</v>
      </c>
      <c r="K44" s="2" t="n">
        <v>-83.0077</v>
      </c>
      <c r="L44" s="239" t="n">
        <v>45020</v>
      </c>
      <c r="M44" s="234" t="n">
        <v>45408</v>
      </c>
    </row>
    <row r="45" customFormat="false" ht="12.75" hidden="false" customHeight="false" outlineLevel="0" collapsed="false">
      <c r="A45" s="2" t="s">
        <v>949</v>
      </c>
      <c r="B45" s="2" t="s">
        <v>861</v>
      </c>
      <c r="C45" s="2" t="s">
        <v>175</v>
      </c>
      <c r="D45" s="2" t="n">
        <v>104824</v>
      </c>
      <c r="E45" s="3" t="s">
        <v>862</v>
      </c>
      <c r="F45" s="3" t="s">
        <v>863</v>
      </c>
      <c r="G45" s="3" t="s">
        <v>950</v>
      </c>
      <c r="H45" s="2" t="e">
        <f aca="true">OFFSET('Installed Sensors'!$B$1,MATCH($E45,'Installed Sensors'!$C:$C,0)-1,0)</f>
        <v>#N/A</v>
      </c>
      <c r="I45" s="2" t="e">
        <f aca="true">OFFSET('Installed Sensors'!$E$1,MATCH($E45,'Installed Sensors'!$C:$C,0)-1,0)</f>
        <v>#N/A</v>
      </c>
      <c r="J45" s="2" t="n">
        <v>40.111164</v>
      </c>
      <c r="K45" s="2" t="n">
        <v>-83.0654</v>
      </c>
      <c r="L45" s="231" t="n">
        <v>44470</v>
      </c>
      <c r="M45" s="231" t="n">
        <v>44491</v>
      </c>
    </row>
    <row r="46" customFormat="false" ht="23.85" hidden="false" customHeight="false" outlineLevel="0" collapsed="false">
      <c r="A46" s="2" t="s">
        <v>951</v>
      </c>
      <c r="B46" s="3" t="s">
        <v>857</v>
      </c>
      <c r="C46" s="2" t="s">
        <v>175</v>
      </c>
      <c r="D46" s="2" t="n">
        <v>135364</v>
      </c>
      <c r="E46" s="3" t="s">
        <v>559</v>
      </c>
      <c r="F46" s="3" t="s">
        <v>952</v>
      </c>
      <c r="G46" s="3" t="s">
        <v>601</v>
      </c>
      <c r="H46" s="2" t="str">
        <f aca="true">OFFSET('Installed Sensors'!$B$1,MATCH($E46,'Installed Sensors'!$C:$C,0)-1,0)</f>
        <v>Franklinton</v>
      </c>
      <c r="I46" s="2" t="n">
        <f aca="true">OFFSET('Installed Sensors'!$E$1,MATCH($E46,'Installed Sensors'!$C:$C,0)-1,0)</f>
        <v>43222</v>
      </c>
      <c r="J46" s="2" t="n">
        <v>39.9589</v>
      </c>
      <c r="K46" s="2" t="n">
        <v>-83.02436</v>
      </c>
      <c r="L46" s="233" t="n">
        <v>44562</v>
      </c>
      <c r="M46" s="234" t="n">
        <v>45358</v>
      </c>
    </row>
    <row r="47" customFormat="false" ht="12.75" hidden="false" customHeight="false" outlineLevel="0" collapsed="false">
      <c r="A47" s="2" t="s">
        <v>953</v>
      </c>
      <c r="B47" s="2" t="s">
        <v>861</v>
      </c>
      <c r="C47" s="2" t="s">
        <v>178</v>
      </c>
      <c r="D47" s="2" t="n">
        <v>104838</v>
      </c>
      <c r="E47" s="3" t="s">
        <v>862</v>
      </c>
      <c r="F47" s="3" t="s">
        <v>863</v>
      </c>
      <c r="G47" s="3" t="s">
        <v>954</v>
      </c>
      <c r="H47" s="2" t="e">
        <f aca="true">OFFSET('Installed Sensors'!$B$1,MATCH($E47,'Installed Sensors'!$C:$C,0)-1,0)</f>
        <v>#N/A</v>
      </c>
      <c r="I47" s="2" t="e">
        <f aca="true">OFFSET('Installed Sensors'!$E$1,MATCH($E47,'Installed Sensors'!$C:$C,0)-1,0)</f>
        <v>#N/A</v>
      </c>
      <c r="J47" s="2" t="n">
        <v>40.111164</v>
      </c>
      <c r="K47" s="2" t="n">
        <v>-83.0654</v>
      </c>
      <c r="L47" s="231" t="n">
        <v>44470</v>
      </c>
      <c r="M47" s="231" t="n">
        <v>44491</v>
      </c>
    </row>
    <row r="48" customFormat="false" ht="12.75" hidden="false" customHeight="false" outlineLevel="0" collapsed="false">
      <c r="A48" s="2" t="s">
        <v>955</v>
      </c>
      <c r="B48" s="3" t="s">
        <v>857</v>
      </c>
      <c r="C48" s="2" t="s">
        <v>178</v>
      </c>
      <c r="D48" s="2" t="n">
        <v>135366</v>
      </c>
      <c r="E48" s="3" t="s">
        <v>511</v>
      </c>
      <c r="F48" s="3" t="s">
        <v>905</v>
      </c>
      <c r="G48" s="3" t="s">
        <v>905</v>
      </c>
      <c r="H48" s="2" t="str">
        <f aca="true">OFFSET('Installed Sensors'!$B$1,MATCH($E48,'Installed Sensors'!$C:$C,0)-1,0)</f>
        <v>Whitehall</v>
      </c>
      <c r="I48" s="2" t="n">
        <f aca="true">OFFSET('Installed Sensors'!$E$1,MATCH($E48,'Installed Sensors'!$C:$C,0)-1,0)</f>
        <v>43213</v>
      </c>
      <c r="J48" s="2" t="n">
        <v>39.975647</v>
      </c>
      <c r="K48" s="2" t="n">
        <v>-82.883125</v>
      </c>
      <c r="L48" s="233" t="n">
        <v>44562</v>
      </c>
      <c r="M48" s="231" t="n">
        <v>44832</v>
      </c>
    </row>
    <row r="49" customFormat="false" ht="12.75" hidden="false" customHeight="false" outlineLevel="0" collapsed="false">
      <c r="A49" s="2" t="s">
        <v>956</v>
      </c>
      <c r="B49" s="2" t="s">
        <v>861</v>
      </c>
      <c r="C49" s="2" t="s">
        <v>182</v>
      </c>
      <c r="D49" s="2" t="n">
        <v>104844</v>
      </c>
      <c r="E49" s="3" t="s">
        <v>862</v>
      </c>
      <c r="F49" s="3" t="s">
        <v>863</v>
      </c>
      <c r="G49" s="3" t="s">
        <v>957</v>
      </c>
      <c r="H49" s="2" t="e">
        <f aca="true">OFFSET('Installed Sensors'!$B$1,MATCH($E49,'Installed Sensors'!$C:$C,0)-1,0)</f>
        <v>#N/A</v>
      </c>
      <c r="I49" s="2" t="e">
        <f aca="true">OFFSET('Installed Sensors'!$E$1,MATCH($E49,'Installed Sensors'!$C:$C,0)-1,0)</f>
        <v>#N/A</v>
      </c>
      <c r="J49" s="2" t="n">
        <v>40.111164</v>
      </c>
      <c r="K49" s="2" t="n">
        <v>-83.0654</v>
      </c>
      <c r="L49" s="231" t="n">
        <v>44449</v>
      </c>
      <c r="M49" s="231" t="n">
        <v>44470</v>
      </c>
    </row>
    <row r="50" customFormat="false" ht="12.75" hidden="false" customHeight="false" outlineLevel="0" collapsed="false">
      <c r="A50" s="2" t="s">
        <v>958</v>
      </c>
      <c r="B50" s="3" t="s">
        <v>857</v>
      </c>
      <c r="C50" s="2" t="s">
        <v>182</v>
      </c>
      <c r="D50" s="2" t="n">
        <v>135368</v>
      </c>
      <c r="E50" s="3" t="s">
        <v>568</v>
      </c>
      <c r="F50" s="3" t="s">
        <v>479</v>
      </c>
      <c r="G50" s="3" t="s">
        <v>600</v>
      </c>
      <c r="H50" s="2" t="str">
        <f aca="true">OFFSET('Installed Sensors'!$B$1,MATCH($E50,'Installed Sensors'!$C:$C,0)-1,0)</f>
        <v>Franklinton 1</v>
      </c>
      <c r="I50" s="2" t="n">
        <f aca="true">OFFSET('Installed Sensors'!$E$1,MATCH($E50,'Installed Sensors'!$C:$C,0)-1,0)</f>
        <v>43222</v>
      </c>
      <c r="J50" s="2" t="n">
        <v>39.961174</v>
      </c>
      <c r="K50" s="2" t="n">
        <v>-83.037285</v>
      </c>
      <c r="L50" s="233" t="n">
        <v>44562</v>
      </c>
      <c r="M50" s="232"/>
    </row>
    <row r="51" customFormat="false" ht="12.75" hidden="false" customHeight="false" outlineLevel="0" collapsed="false">
      <c r="A51" s="2" t="s">
        <v>959</v>
      </c>
      <c r="B51" s="2" t="s">
        <v>861</v>
      </c>
      <c r="C51" s="2" t="s">
        <v>185</v>
      </c>
      <c r="D51" s="2" t="n">
        <v>104324</v>
      </c>
      <c r="E51" s="3" t="s">
        <v>862</v>
      </c>
      <c r="F51" s="3" t="s">
        <v>863</v>
      </c>
      <c r="G51" s="3" t="s">
        <v>960</v>
      </c>
      <c r="H51" s="2" t="e">
        <f aca="true">OFFSET('Installed Sensors'!$B$1,MATCH($E51,'Installed Sensors'!$C:$C,0)-1,0)</f>
        <v>#N/A</v>
      </c>
      <c r="I51" s="2" t="e">
        <f aca="true">OFFSET('Installed Sensors'!$E$1,MATCH($E51,'Installed Sensors'!$C:$C,0)-1,0)</f>
        <v>#N/A</v>
      </c>
      <c r="J51" s="2" t="n">
        <v>40.111164</v>
      </c>
      <c r="K51" s="2" t="n">
        <v>-83.0654</v>
      </c>
      <c r="L51" s="231" t="n">
        <v>44470</v>
      </c>
      <c r="M51" s="231" t="n">
        <v>44491</v>
      </c>
    </row>
    <row r="52" customFormat="false" ht="23.85" hidden="false" customHeight="false" outlineLevel="0" collapsed="false">
      <c r="A52" s="2" t="s">
        <v>961</v>
      </c>
      <c r="B52" s="3" t="s">
        <v>857</v>
      </c>
      <c r="C52" s="2" t="s">
        <v>185</v>
      </c>
      <c r="D52" s="2" t="n">
        <v>142906</v>
      </c>
      <c r="E52" s="3" t="s">
        <v>573</v>
      </c>
      <c r="F52" s="3" t="s">
        <v>962</v>
      </c>
      <c r="G52" s="3" t="s">
        <v>963</v>
      </c>
      <c r="H52" s="2" t="str">
        <f aca="true">OFFSET('Installed Sensors'!$B$1,MATCH($E52,'Installed Sensors'!$C:$C,0)-1,0)</f>
        <v>Grove City</v>
      </c>
      <c r="I52" s="2" t="n">
        <f aca="true">OFFSET('Installed Sensors'!$E$1,MATCH($E52,'Installed Sensors'!$C:$C,0)-1,0)</f>
        <v>43123</v>
      </c>
      <c r="J52" s="2" t="n">
        <v>39.839783</v>
      </c>
      <c r="K52" s="2" t="n">
        <v>-83.07625</v>
      </c>
      <c r="L52" s="231" t="n">
        <v>44580</v>
      </c>
      <c r="M52" s="234" t="n">
        <v>45362</v>
      </c>
    </row>
    <row r="53" customFormat="false" ht="12.75" hidden="false" customHeight="false" outlineLevel="0" collapsed="false">
      <c r="A53" s="2" t="s">
        <v>964</v>
      </c>
      <c r="B53" s="2" t="s">
        <v>861</v>
      </c>
      <c r="C53" s="2" t="s">
        <v>188</v>
      </c>
      <c r="D53" s="2" t="n">
        <v>104960</v>
      </c>
      <c r="E53" s="3" t="s">
        <v>862</v>
      </c>
      <c r="F53" s="3" t="s">
        <v>863</v>
      </c>
      <c r="G53" s="3" t="s">
        <v>965</v>
      </c>
      <c r="H53" s="2" t="e">
        <f aca="true">OFFSET('Installed Sensors'!$B$1,MATCH($E53,'Installed Sensors'!$C:$C,0)-1,0)</f>
        <v>#N/A</v>
      </c>
      <c r="I53" s="2" t="e">
        <f aca="true">OFFSET('Installed Sensors'!$E$1,MATCH($E53,'Installed Sensors'!$C:$C,0)-1,0)</f>
        <v>#N/A</v>
      </c>
      <c r="J53" s="2" t="n">
        <v>40.111164</v>
      </c>
      <c r="K53" s="2" t="n">
        <v>-83.0654</v>
      </c>
      <c r="L53" s="231" t="n">
        <v>44470</v>
      </c>
      <c r="M53" s="231" t="n">
        <v>44491</v>
      </c>
    </row>
    <row r="54" customFormat="false" ht="23.85" hidden="false" customHeight="false" outlineLevel="0" collapsed="false">
      <c r="A54" s="2" t="s">
        <v>966</v>
      </c>
      <c r="B54" s="3" t="s">
        <v>857</v>
      </c>
      <c r="C54" s="2" t="s">
        <v>188</v>
      </c>
      <c r="D54" s="2" t="n">
        <v>140562</v>
      </c>
      <c r="E54" s="3" t="s">
        <v>579</v>
      </c>
      <c r="F54" s="3" t="s">
        <v>967</v>
      </c>
      <c r="G54" s="3" t="s">
        <v>968</v>
      </c>
      <c r="H54" s="2" t="str">
        <f aca="true">OFFSET('Installed Sensors'!$B$1,MATCH($E54,'Installed Sensors'!$C:$C,0)-1,0)</f>
        <v>Blendon</v>
      </c>
      <c r="I54" s="2" t="n">
        <f aca="true">OFFSET('Installed Sensors'!$E$1,MATCH($E54,'Installed Sensors'!$C:$C,0)-1,0)</f>
        <v>43081</v>
      </c>
      <c r="J54" s="2" t="n">
        <v>40.0982</v>
      </c>
      <c r="K54" s="2" t="n">
        <v>-82.899765</v>
      </c>
      <c r="L54" s="231" t="n">
        <v>44544</v>
      </c>
      <c r="M54" s="232"/>
    </row>
    <row r="55" customFormat="false" ht="12.75" hidden="false" customHeight="false" outlineLevel="0" collapsed="false">
      <c r="A55" s="2" t="s">
        <v>969</v>
      </c>
      <c r="B55" s="2" t="s">
        <v>861</v>
      </c>
      <c r="C55" s="2" t="s">
        <v>191</v>
      </c>
      <c r="D55" s="2" t="n">
        <v>102020</v>
      </c>
      <c r="E55" s="3" t="s">
        <v>862</v>
      </c>
      <c r="F55" s="3" t="s">
        <v>863</v>
      </c>
      <c r="G55" s="3" t="s">
        <v>970</v>
      </c>
      <c r="H55" s="2" t="e">
        <f aca="true">OFFSET('Installed Sensors'!$B$1,MATCH($E55,'Installed Sensors'!$C:$C,0)-1,0)</f>
        <v>#N/A</v>
      </c>
      <c r="I55" s="2" t="e">
        <f aca="true">OFFSET('Installed Sensors'!$E$1,MATCH($E55,'Installed Sensors'!$C:$C,0)-1,0)</f>
        <v>#N/A</v>
      </c>
      <c r="J55" s="2" t="n">
        <v>40.111164</v>
      </c>
      <c r="K55" s="2" t="n">
        <v>-83.0654</v>
      </c>
      <c r="L55" s="231" t="n">
        <v>44449</v>
      </c>
      <c r="M55" s="231" t="n">
        <v>44470</v>
      </c>
    </row>
    <row r="56" customFormat="false" ht="12.75" hidden="false" customHeight="false" outlineLevel="0" collapsed="false">
      <c r="A56" s="2" t="s">
        <v>971</v>
      </c>
      <c r="B56" s="3" t="s">
        <v>857</v>
      </c>
      <c r="C56" s="2" t="s">
        <v>191</v>
      </c>
      <c r="D56" s="2" t="n">
        <v>139364</v>
      </c>
      <c r="E56" s="3" t="s">
        <v>588</v>
      </c>
      <c r="F56" s="3" t="s">
        <v>972</v>
      </c>
      <c r="G56" s="3" t="s">
        <v>972</v>
      </c>
      <c r="H56" s="2" t="str">
        <f aca="true">OFFSET('Installed Sensors'!$B$1,MATCH($E56,'Installed Sensors'!$C:$C,0)-1,0)</f>
        <v>Hilltop</v>
      </c>
      <c r="I56" s="2" t="n">
        <f aca="true">OFFSET('Installed Sensors'!$E$1,MATCH($E56,'Installed Sensors'!$C:$C,0)-1,0)</f>
        <v>43204</v>
      </c>
      <c r="J56" s="2" t="n">
        <v>39.9445</v>
      </c>
      <c r="K56" s="2" t="n">
        <v>-83.0735</v>
      </c>
      <c r="L56" s="233" t="n">
        <v>44562</v>
      </c>
      <c r="M56" s="231" t="n">
        <v>44697</v>
      </c>
    </row>
    <row r="57" customFormat="false" ht="12.75" hidden="false" customHeight="false" outlineLevel="0" collapsed="false">
      <c r="A57" s="2" t="s">
        <v>973</v>
      </c>
      <c r="B57" s="3" t="s">
        <v>857</v>
      </c>
      <c r="C57" s="2" t="s">
        <v>191</v>
      </c>
      <c r="D57" s="2" t="n">
        <v>147691</v>
      </c>
      <c r="E57" s="3" t="s">
        <v>583</v>
      </c>
      <c r="F57" s="3" t="s">
        <v>974</v>
      </c>
      <c r="G57" s="3" t="s">
        <v>584</v>
      </c>
      <c r="H57" s="2" t="str">
        <f aca="true">OFFSET('Installed Sensors'!$B$1,MATCH($E57,'Installed Sensors'!$C:$C,0)-1,0)</f>
        <v>Hilltop</v>
      </c>
      <c r="I57" s="2" t="n">
        <f aca="true">OFFSET('Installed Sensors'!$E$1,MATCH($E57,'Installed Sensors'!$C:$C,0)-1,0)</f>
        <v>43204</v>
      </c>
      <c r="J57" s="2" t="n">
        <v>39.962215</v>
      </c>
      <c r="K57" s="2" t="n">
        <v>-83.07883</v>
      </c>
      <c r="L57" s="231" t="n">
        <v>44700</v>
      </c>
      <c r="M57" s="234" t="n">
        <v>45894</v>
      </c>
    </row>
    <row r="58" customFormat="false" ht="12.75" hidden="false" customHeight="false" outlineLevel="0" collapsed="false">
      <c r="A58" s="2" t="s">
        <v>975</v>
      </c>
      <c r="B58" s="3" t="s">
        <v>857</v>
      </c>
      <c r="C58" s="2" t="s">
        <v>195</v>
      </c>
      <c r="D58" s="2" t="n">
        <v>136660</v>
      </c>
      <c r="E58" s="3" t="s">
        <v>976</v>
      </c>
      <c r="F58" s="3" t="s">
        <v>977</v>
      </c>
      <c r="G58" s="3" t="s">
        <v>978</v>
      </c>
      <c r="H58" s="2" t="e">
        <f aca="true">OFFSET('Installed Sensors'!$B$1,MATCH($E58,'Installed Sensors'!$C:$C,0)-1,0)</f>
        <v>#N/A</v>
      </c>
      <c r="I58" s="2" t="e">
        <f aca="true">OFFSET('Installed Sensors'!$E$1,MATCH($E58,'Installed Sensors'!$C:$C,0)-1,0)</f>
        <v>#N/A</v>
      </c>
      <c r="J58" s="2" t="n">
        <v>39.878006</v>
      </c>
      <c r="K58" s="2" t="n">
        <v>-83.08881</v>
      </c>
      <c r="L58" s="231" t="n">
        <v>44531</v>
      </c>
      <c r="M58" s="234" t="n">
        <v>44531</v>
      </c>
    </row>
    <row r="59" customFormat="false" ht="12.75" hidden="false" customHeight="false" outlineLevel="0" collapsed="false">
      <c r="A59" s="2" t="s">
        <v>979</v>
      </c>
      <c r="B59" s="3" t="s">
        <v>857</v>
      </c>
      <c r="C59" s="2" t="s">
        <v>195</v>
      </c>
      <c r="D59" s="2" t="n">
        <v>158823</v>
      </c>
      <c r="E59" s="3" t="s">
        <v>980</v>
      </c>
      <c r="F59" s="3" t="s">
        <v>977</v>
      </c>
      <c r="G59" s="3" t="s">
        <v>978</v>
      </c>
      <c r="H59" s="2" t="s">
        <v>572</v>
      </c>
      <c r="I59" s="2" t="n">
        <v>43123</v>
      </c>
      <c r="J59" s="2" t="n">
        <v>39.878006</v>
      </c>
      <c r="K59" s="2" t="n">
        <v>-83.08881</v>
      </c>
      <c r="L59" s="231" t="n">
        <v>44532</v>
      </c>
      <c r="M59" s="232"/>
    </row>
    <row r="60" customFormat="false" ht="12.75" hidden="false" customHeight="false" outlineLevel="0" collapsed="false">
      <c r="A60" s="2" t="s">
        <v>981</v>
      </c>
      <c r="B60" s="2" t="s">
        <v>861</v>
      </c>
      <c r="C60" s="2" t="s">
        <v>198</v>
      </c>
      <c r="D60" s="2" t="n">
        <v>104850</v>
      </c>
      <c r="E60" s="3" t="s">
        <v>862</v>
      </c>
      <c r="F60" s="3" t="s">
        <v>863</v>
      </c>
      <c r="G60" s="3" t="s">
        <v>982</v>
      </c>
      <c r="H60" s="2" t="e">
        <f aca="true">OFFSET('Installed Sensors'!$B$1,MATCH($E60,'Installed Sensors'!$C:$C,0)-1,0)</f>
        <v>#N/A</v>
      </c>
      <c r="I60" s="2" t="e">
        <f aca="true">OFFSET('Installed Sensors'!$E$1,MATCH($E60,'Installed Sensors'!$C:$C,0)-1,0)</f>
        <v>#N/A</v>
      </c>
      <c r="J60" s="2" t="n">
        <v>40.111164</v>
      </c>
      <c r="K60" s="2" t="n">
        <v>-83.0654</v>
      </c>
      <c r="L60" s="233" t="n">
        <v>44562</v>
      </c>
      <c r="M60" s="240"/>
    </row>
    <row r="61" customFormat="false" ht="12.75" hidden="false" customHeight="false" outlineLevel="0" collapsed="false">
      <c r="A61" s="0" t="s">
        <v>983</v>
      </c>
      <c r="B61" s="6" t="s">
        <v>861</v>
      </c>
      <c r="C61" s="2" t="s">
        <v>207</v>
      </c>
      <c r="D61" s="2" t="n">
        <v>157591</v>
      </c>
      <c r="E61" s="3" t="s">
        <v>862</v>
      </c>
      <c r="F61" s="3" t="s">
        <v>863</v>
      </c>
      <c r="G61" s="223" t="s">
        <v>984</v>
      </c>
      <c r="H61" s="2" t="e">
        <f aca="true">OFFSET('Installed Sensors'!$B$1,MATCH($E61,'Installed Sensors'!$C:$C,0)-1,0)</f>
        <v>#N/A</v>
      </c>
      <c r="I61" s="2" t="e">
        <f aca="true">OFFSET('Installed Sensors'!$E$1,MATCH($E61,'Installed Sensors'!$C:$C,0)-1,0)</f>
        <v>#N/A</v>
      </c>
      <c r="J61" s="2" t="n">
        <v>40.111164</v>
      </c>
      <c r="K61" s="2" t="n">
        <v>-83.0654</v>
      </c>
      <c r="L61" s="234" t="n">
        <v>44979</v>
      </c>
      <c r="M61" s="239" t="n">
        <v>45015</v>
      </c>
    </row>
    <row r="62" customFormat="false" ht="23.25" hidden="false" customHeight="false" outlineLevel="0" collapsed="false">
      <c r="A62" s="241" t="s">
        <v>985</v>
      </c>
      <c r="B62" s="6" t="s">
        <v>857</v>
      </c>
      <c r="C62" s="2" t="s">
        <v>207</v>
      </c>
      <c r="D62" s="2" t="n">
        <v>262123</v>
      </c>
      <c r="E62" s="3" t="s">
        <v>559</v>
      </c>
      <c r="F62" s="3" t="s">
        <v>601</v>
      </c>
      <c r="G62" s="223" t="s">
        <v>601</v>
      </c>
      <c r="H62" s="2" t="s">
        <v>558</v>
      </c>
      <c r="I62" s="2" t="n">
        <v>43222</v>
      </c>
      <c r="J62" s="2" t="n">
        <v>39.9589</v>
      </c>
      <c r="K62" s="2" t="n">
        <v>-83.02436</v>
      </c>
      <c r="L62" s="234" t="n">
        <v>45405</v>
      </c>
      <c r="M62" s="232"/>
    </row>
    <row r="63" customFormat="false" ht="12.75" hidden="false" customHeight="false" outlineLevel="0" collapsed="false">
      <c r="A63" s="0" t="s">
        <v>986</v>
      </c>
      <c r="B63" s="6" t="s">
        <v>861</v>
      </c>
      <c r="C63" s="2" t="s">
        <v>210</v>
      </c>
      <c r="D63" s="2" t="n">
        <v>157605</v>
      </c>
      <c r="E63" s="3" t="s">
        <v>862</v>
      </c>
      <c r="F63" s="3" t="s">
        <v>863</v>
      </c>
      <c r="G63" s="223" t="s">
        <v>987</v>
      </c>
      <c r="H63" s="2" t="e">
        <f aca="true">OFFSET('Installed Sensors'!$B$1,MATCH($E63,'Installed Sensors'!$C:$C,0)-1,0)</f>
        <v>#N/A</v>
      </c>
      <c r="I63" s="2" t="e">
        <f aca="true">OFFSET('Installed Sensors'!$E$1,MATCH($E63,'Installed Sensors'!$C:$C,0)-1,0)</f>
        <v>#N/A</v>
      </c>
      <c r="J63" s="2" t="n">
        <v>40.111164</v>
      </c>
      <c r="K63" s="2" t="n">
        <v>-83.0654</v>
      </c>
      <c r="L63" s="234" t="n">
        <v>44979</v>
      </c>
      <c r="M63" s="239" t="n">
        <v>45015</v>
      </c>
    </row>
    <row r="64" customFormat="false" ht="23.85" hidden="false" customHeight="false" outlineLevel="0" collapsed="false">
      <c r="A64" s="0" t="s">
        <v>988</v>
      </c>
      <c r="B64" s="6" t="s">
        <v>857</v>
      </c>
      <c r="C64" s="2" t="s">
        <v>210</v>
      </c>
      <c r="D64" s="2" t="n">
        <v>157605</v>
      </c>
      <c r="E64" s="3" t="s">
        <v>609</v>
      </c>
      <c r="F64" s="3" t="s">
        <v>989</v>
      </c>
      <c r="G64" s="223" t="s">
        <v>472</v>
      </c>
      <c r="H64" s="2" t="s">
        <v>470</v>
      </c>
      <c r="I64" s="2" t="n">
        <v>43203</v>
      </c>
      <c r="J64" s="2" t="n">
        <v>39.96468</v>
      </c>
      <c r="K64" s="2" t="n">
        <v>-82.95144</v>
      </c>
      <c r="L64" s="234" t="n">
        <v>45420</v>
      </c>
      <c r="M64" s="239" t="n">
        <v>45509</v>
      </c>
    </row>
    <row r="65" customFormat="false" ht="12.75" hidden="false" customHeight="false" outlineLevel="0" collapsed="false">
      <c r="A65" s="0" t="s">
        <v>990</v>
      </c>
      <c r="B65" s="6" t="s">
        <v>857</v>
      </c>
      <c r="C65" s="2" t="s">
        <v>210</v>
      </c>
      <c r="D65" s="2" t="n">
        <v>262109</v>
      </c>
      <c r="E65" s="24" t="s">
        <v>991</v>
      </c>
      <c r="F65" s="3" t="s">
        <v>479</v>
      </c>
      <c r="G65" s="223" t="s">
        <v>603</v>
      </c>
      <c r="H65" s="2" t="s">
        <v>558</v>
      </c>
      <c r="I65" s="2" t="n">
        <v>43222</v>
      </c>
      <c r="J65" s="2"/>
      <c r="K65" s="2"/>
      <c r="L65" s="234" t="n">
        <v>45712</v>
      </c>
      <c r="M65" s="242"/>
    </row>
    <row r="66" customFormat="false" ht="12.75" hidden="false" customHeight="false" outlineLevel="0" collapsed="false">
      <c r="A66" s="0" t="s">
        <v>992</v>
      </c>
      <c r="B66" s="6" t="s">
        <v>861</v>
      </c>
      <c r="C66" s="2" t="s">
        <v>213</v>
      </c>
      <c r="D66" s="2" t="n">
        <v>157617</v>
      </c>
      <c r="E66" s="3" t="s">
        <v>862</v>
      </c>
      <c r="F66" s="3" t="s">
        <v>863</v>
      </c>
      <c r="G66" s="223" t="s">
        <v>993</v>
      </c>
      <c r="H66" s="2" t="e">
        <f aca="true">OFFSET('Installed Sensors'!$B$1,MATCH($E66,'Installed Sensors'!$C:$C,0)-1,0)</f>
        <v>#N/A</v>
      </c>
      <c r="I66" s="2" t="e">
        <f aca="true">OFFSET('Installed Sensors'!$E$1,MATCH($E66,'Installed Sensors'!$C:$C,0)-1,0)</f>
        <v>#N/A</v>
      </c>
      <c r="J66" s="2" t="n">
        <v>40.111164</v>
      </c>
      <c r="K66" s="2" t="n">
        <v>-83.0654</v>
      </c>
      <c r="L66" s="234" t="n">
        <v>44979</v>
      </c>
      <c r="M66" s="239" t="n">
        <v>45015</v>
      </c>
    </row>
    <row r="67" customFormat="false" ht="23.85" hidden="false" customHeight="false" outlineLevel="0" collapsed="false">
      <c r="A67" s="0" t="s">
        <v>994</v>
      </c>
      <c r="B67" s="6" t="s">
        <v>857</v>
      </c>
      <c r="C67" s="2" t="s">
        <v>213</v>
      </c>
      <c r="D67" s="2" t="n">
        <v>262107</v>
      </c>
      <c r="E67" s="3" t="s">
        <v>609</v>
      </c>
      <c r="F67" s="3" t="s">
        <v>989</v>
      </c>
      <c r="G67" s="223" t="s">
        <v>472</v>
      </c>
      <c r="H67" s="2" t="s">
        <v>470</v>
      </c>
      <c r="I67" s="2" t="n">
        <v>43203</v>
      </c>
      <c r="J67" s="2" t="n">
        <v>39.96468</v>
      </c>
      <c r="K67" s="2" t="n">
        <v>-82.95144</v>
      </c>
      <c r="L67" s="234" t="n">
        <v>45509</v>
      </c>
      <c r="M67" s="242"/>
    </row>
    <row r="68" customFormat="false" ht="12.75" hidden="false" customHeight="false" outlineLevel="0" collapsed="false">
      <c r="A68" s="0" t="s">
        <v>995</v>
      </c>
      <c r="B68" s="6" t="s">
        <v>861</v>
      </c>
      <c r="C68" s="2" t="s">
        <v>216</v>
      </c>
      <c r="D68" s="2" t="n">
        <v>157559</v>
      </c>
      <c r="E68" s="3" t="s">
        <v>862</v>
      </c>
      <c r="F68" s="3" t="s">
        <v>863</v>
      </c>
      <c r="G68" s="223" t="s">
        <v>996</v>
      </c>
      <c r="H68" s="2" t="e">
        <f aca="true">OFFSET('Installed Sensors'!$B$1,MATCH($E68,'Installed Sensors'!$C:$C,0)-1,0)</f>
        <v>#N/A</v>
      </c>
      <c r="I68" s="2" t="e">
        <f aca="true">OFFSET('Installed Sensors'!$E$1,MATCH($E68,'Installed Sensors'!$C:$C,0)-1,0)</f>
        <v>#N/A</v>
      </c>
      <c r="J68" s="2" t="n">
        <v>40.111164</v>
      </c>
      <c r="K68" s="2" t="n">
        <v>-83.0654</v>
      </c>
      <c r="L68" s="234" t="n">
        <v>44979</v>
      </c>
      <c r="M68" s="239" t="n">
        <v>45015</v>
      </c>
    </row>
    <row r="69" customFormat="false" ht="12.75" hidden="false" customHeight="false" outlineLevel="0" collapsed="false">
      <c r="A69" s="0" t="s">
        <v>997</v>
      </c>
      <c r="B69" s="6" t="s">
        <v>857</v>
      </c>
      <c r="C69" s="2" t="s">
        <v>216</v>
      </c>
      <c r="D69" s="2" t="n">
        <v>262121</v>
      </c>
      <c r="E69" s="3" t="s">
        <v>614</v>
      </c>
      <c r="F69" s="3" t="s">
        <v>615</v>
      </c>
      <c r="G69" s="223" t="s">
        <v>998</v>
      </c>
      <c r="H69" s="2" t="s">
        <v>506</v>
      </c>
      <c r="I69" s="2" t="n">
        <v>43207</v>
      </c>
      <c r="J69" s="2" t="n">
        <v>39.9318</v>
      </c>
      <c r="K69" s="2" t="n">
        <v>-82.97672</v>
      </c>
      <c r="L69" s="234" t="n">
        <v>45436</v>
      </c>
      <c r="M69" s="242"/>
    </row>
    <row r="70" customFormat="false" ht="12.75" hidden="false" customHeight="false" outlineLevel="0" collapsed="false">
      <c r="A70" s="0" t="s">
        <v>999</v>
      </c>
      <c r="B70" s="6" t="s">
        <v>861</v>
      </c>
      <c r="C70" s="2" t="s">
        <v>219</v>
      </c>
      <c r="D70" s="2" t="n">
        <v>157615</v>
      </c>
      <c r="E70" s="3" t="s">
        <v>862</v>
      </c>
      <c r="F70" s="3" t="s">
        <v>863</v>
      </c>
      <c r="G70" s="223" t="s">
        <v>1000</v>
      </c>
      <c r="H70" s="2" t="e">
        <f aca="true">OFFSET('Installed Sensors'!$B$1,MATCH($E70,'Installed Sensors'!$C:$C,0)-1,0)</f>
        <v>#N/A</v>
      </c>
      <c r="I70" s="2" t="e">
        <f aca="true">OFFSET('Installed Sensors'!$E$1,MATCH($E70,'Installed Sensors'!$C:$C,0)-1,0)</f>
        <v>#N/A</v>
      </c>
      <c r="J70" s="2" t="n">
        <v>40.111164</v>
      </c>
      <c r="K70" s="2" t="n">
        <v>-83.0654</v>
      </c>
      <c r="L70" s="234" t="n">
        <v>44979</v>
      </c>
      <c r="M70" s="239" t="n">
        <v>45015</v>
      </c>
    </row>
    <row r="71" customFormat="false" ht="12.75" hidden="false" customHeight="false" outlineLevel="0" collapsed="false">
      <c r="A71" s="0" t="s">
        <v>1001</v>
      </c>
      <c r="B71" s="6" t="s">
        <v>857</v>
      </c>
      <c r="C71" s="2" t="s">
        <v>219</v>
      </c>
      <c r="D71" s="2" t="n">
        <v>262105</v>
      </c>
      <c r="E71" s="3" t="s">
        <v>1002</v>
      </c>
      <c r="F71" s="3" t="s">
        <v>479</v>
      </c>
      <c r="G71" s="223" t="s">
        <v>1003</v>
      </c>
      <c r="H71" s="2" t="s">
        <v>620</v>
      </c>
      <c r="I71" s="2" t="n">
        <v>43205</v>
      </c>
      <c r="J71" s="2" t="n">
        <v>39.9513345753806</v>
      </c>
      <c r="K71" s="2" t="n">
        <v>-82.9489582804507</v>
      </c>
      <c r="L71" s="234" t="n">
        <v>45421</v>
      </c>
      <c r="M71" s="242"/>
    </row>
    <row r="72" customFormat="false" ht="12.75" hidden="false" customHeight="false" outlineLevel="0" collapsed="false">
      <c r="A72" s="0" t="s">
        <v>1004</v>
      </c>
      <c r="B72" s="6" t="s">
        <v>861</v>
      </c>
      <c r="C72" s="2" t="s">
        <v>222</v>
      </c>
      <c r="D72" s="2"/>
      <c r="E72" s="3" t="s">
        <v>862</v>
      </c>
      <c r="F72" s="3" t="s">
        <v>863</v>
      </c>
      <c r="G72" s="223" t="s">
        <v>1005</v>
      </c>
      <c r="H72" s="2" t="e">
        <f aca="true">OFFSET('Installed Sensors'!$B$1,MATCH($E72,'Installed Sensors'!$C:$C,0)-1,0)</f>
        <v>#N/A</v>
      </c>
      <c r="I72" s="2" t="e">
        <f aca="true">OFFSET('Installed Sensors'!$E$1,MATCH($E72,'Installed Sensors'!$C:$C,0)-1,0)</f>
        <v>#N/A</v>
      </c>
      <c r="J72" s="2" t="n">
        <v>40.111164</v>
      </c>
      <c r="K72" s="2" t="n">
        <v>-83.0654</v>
      </c>
      <c r="L72" s="234" t="n">
        <v>44979</v>
      </c>
      <c r="M72" s="234" t="n">
        <v>45015</v>
      </c>
    </row>
    <row r="73" customFormat="false" ht="12.75" hidden="false" customHeight="false" outlineLevel="0" collapsed="false">
      <c r="A73" s="0" t="s">
        <v>1006</v>
      </c>
      <c r="B73" s="6" t="s">
        <v>857</v>
      </c>
      <c r="C73" s="2" t="s">
        <v>222</v>
      </c>
      <c r="D73" s="2" t="n">
        <v>157587</v>
      </c>
      <c r="E73" s="3" t="s">
        <v>627</v>
      </c>
      <c r="F73" s="3" t="s">
        <v>479</v>
      </c>
      <c r="G73" s="223" t="s">
        <v>626</v>
      </c>
      <c r="H73" s="2" t="s">
        <v>626</v>
      </c>
      <c r="I73" s="2" t="n">
        <v>43123</v>
      </c>
      <c r="J73" s="2" t="n">
        <v>39.842789</v>
      </c>
      <c r="K73" s="2" t="n">
        <v>-83.02037</v>
      </c>
      <c r="L73" s="234" t="n">
        <v>45443</v>
      </c>
      <c r="M73" s="232"/>
    </row>
    <row r="74" customFormat="false" ht="12.75" hidden="false" customHeight="false" outlineLevel="0" collapsed="false">
      <c r="A74" s="0" t="s">
        <v>1007</v>
      </c>
      <c r="B74" s="6" t="s">
        <v>861</v>
      </c>
      <c r="C74" s="6" t="s">
        <v>230</v>
      </c>
      <c r="D74" s="0" t="n">
        <v>209913</v>
      </c>
      <c r="E74" s="3" t="s">
        <v>862</v>
      </c>
      <c r="F74" s="3" t="s">
        <v>863</v>
      </c>
      <c r="G74" s="223" t="s">
        <v>1008</v>
      </c>
      <c r="H74" s="2" t="e">
        <f aca="true">OFFSET('Installed Sensors'!$B$1,MATCH($E74,'Installed Sensors'!$C:$C,0)-1,0)</f>
        <v>#N/A</v>
      </c>
      <c r="I74" s="2" t="e">
        <f aca="true">OFFSET('Installed Sensors'!$E$1,MATCH($E74,'Installed Sensors'!$C:$C,0)-1,0)</f>
        <v>#N/A</v>
      </c>
      <c r="J74" s="2" t="n">
        <v>40.111164</v>
      </c>
      <c r="K74" s="2" t="n">
        <v>-83.0654</v>
      </c>
      <c r="L74" s="234" t="n">
        <v>45336</v>
      </c>
      <c r="M74" s="234" t="n">
        <v>45351</v>
      </c>
    </row>
    <row r="75" customFormat="false" ht="12.75" hidden="false" customHeight="false" outlineLevel="0" collapsed="false">
      <c r="A75" s="0" t="s">
        <v>1009</v>
      </c>
      <c r="B75" s="6" t="s">
        <v>857</v>
      </c>
      <c r="C75" s="6" t="s">
        <v>230</v>
      </c>
      <c r="D75" s="0" t="n">
        <v>215583</v>
      </c>
      <c r="E75" s="3" t="s">
        <v>1010</v>
      </c>
      <c r="F75" s="3" t="s">
        <v>479</v>
      </c>
      <c r="G75" s="223" t="s">
        <v>632</v>
      </c>
      <c r="H75" s="2" t="s">
        <v>632</v>
      </c>
      <c r="I75" s="2" t="n">
        <v>43026</v>
      </c>
      <c r="J75" s="2" t="n">
        <v>40.02453</v>
      </c>
      <c r="K75" s="2" t="n">
        <v>-83.13913</v>
      </c>
      <c r="L75" s="234" t="n">
        <v>45443</v>
      </c>
      <c r="M75" s="232"/>
    </row>
    <row r="76" customFormat="false" ht="12.75" hidden="false" customHeight="false" outlineLevel="0" collapsed="false">
      <c r="A76" s="0" t="s">
        <v>1011</v>
      </c>
      <c r="B76" s="6" t="s">
        <v>861</v>
      </c>
      <c r="C76" s="6" t="s">
        <v>234</v>
      </c>
      <c r="D76" s="0" t="n">
        <v>209679</v>
      </c>
      <c r="E76" s="3" t="s">
        <v>862</v>
      </c>
      <c r="F76" s="3" t="s">
        <v>863</v>
      </c>
      <c r="G76" s="223" t="s">
        <v>1012</v>
      </c>
      <c r="H76" s="2" t="e">
        <f aca="true">OFFSET('Installed Sensors'!$B$1,MATCH($E76,'Installed Sensors'!$C:$C,0)-1,0)</f>
        <v>#N/A</v>
      </c>
      <c r="I76" s="2" t="e">
        <f aca="true">OFFSET('Installed Sensors'!$E$1,MATCH($E76,'Installed Sensors'!$C:$C,0)-1,0)</f>
        <v>#N/A</v>
      </c>
      <c r="J76" s="2" t="n">
        <v>40.111164</v>
      </c>
      <c r="K76" s="2" t="n">
        <v>-83.0654</v>
      </c>
      <c r="L76" s="234" t="n">
        <v>45336</v>
      </c>
      <c r="M76" s="234" t="n">
        <v>45351</v>
      </c>
    </row>
    <row r="77" customFormat="false" ht="12.75" hidden="false" customHeight="false" outlineLevel="0" collapsed="false">
      <c r="A77" s="0" t="s">
        <v>1013</v>
      </c>
      <c r="B77" s="6" t="s">
        <v>857</v>
      </c>
      <c r="C77" s="6" t="s">
        <v>234</v>
      </c>
      <c r="D77" s="0" t="n">
        <v>215585</v>
      </c>
      <c r="E77" s="20" t="s">
        <v>1014</v>
      </c>
      <c r="F77" s="4" t="s">
        <v>479</v>
      </c>
      <c r="G77" s="223" t="s">
        <v>1015</v>
      </c>
      <c r="H77" s="2" t="s">
        <v>491</v>
      </c>
      <c r="I77" s="2" t="n">
        <v>43123</v>
      </c>
      <c r="J77" s="2" t="n">
        <v>39.98302</v>
      </c>
      <c r="K77" s="2" t="n">
        <v>-83.05438</v>
      </c>
      <c r="L77" s="234" t="n">
        <v>45523</v>
      </c>
      <c r="M77" s="232"/>
    </row>
    <row r="78" customFormat="false" ht="12.75" hidden="false" customHeight="false" outlineLevel="0" collapsed="false">
      <c r="A78" s="0" t="s">
        <v>1016</v>
      </c>
      <c r="B78" s="6" t="s">
        <v>861</v>
      </c>
      <c r="C78" s="6" t="s">
        <v>238</v>
      </c>
      <c r="D78" s="0" t="n">
        <v>210129</v>
      </c>
      <c r="E78" s="3" t="s">
        <v>862</v>
      </c>
      <c r="F78" s="3" t="s">
        <v>863</v>
      </c>
      <c r="G78" s="223" t="s">
        <v>1017</v>
      </c>
      <c r="H78" s="2" t="e">
        <f aca="true">OFFSET('Installed Sensors'!$B$1,MATCH($E78,'Installed Sensors'!$C:$C,0)-1,0)</f>
        <v>#N/A</v>
      </c>
      <c r="I78" s="2" t="e">
        <f aca="true">OFFSET('Installed Sensors'!$E$1,MATCH($E78,'Installed Sensors'!$C:$C,0)-1,0)</f>
        <v>#N/A</v>
      </c>
      <c r="J78" s="2" t="n">
        <v>40.111164</v>
      </c>
      <c r="K78" s="2" t="n">
        <v>-83.0654</v>
      </c>
      <c r="L78" s="234" t="n">
        <v>45336</v>
      </c>
      <c r="M78" s="234" t="n">
        <v>45351</v>
      </c>
    </row>
    <row r="79" customFormat="false" ht="12.75" hidden="false" customHeight="false" outlineLevel="0" collapsed="false">
      <c r="A79" s="0" t="s">
        <v>1018</v>
      </c>
      <c r="B79" s="6" t="s">
        <v>857</v>
      </c>
      <c r="C79" s="6" t="s">
        <v>238</v>
      </c>
      <c r="D79" s="0" t="n">
        <v>215587</v>
      </c>
      <c r="E79" s="3" t="s">
        <v>1019</v>
      </c>
      <c r="F79" s="3" t="s">
        <v>1020</v>
      </c>
      <c r="G79" s="223" t="s">
        <v>1021</v>
      </c>
      <c r="H79" s="2" t="s">
        <v>572</v>
      </c>
      <c r="I79" s="2" t="n">
        <v>43123</v>
      </c>
      <c r="J79" s="2" t="n">
        <v>39.89808</v>
      </c>
      <c r="K79" s="2" t="n">
        <v>-83.0628</v>
      </c>
      <c r="L79" s="234" t="n">
        <v>45525</v>
      </c>
      <c r="M79" s="232"/>
    </row>
    <row r="80" customFormat="false" ht="12.75" hidden="false" customHeight="false" outlineLevel="0" collapsed="false">
      <c r="A80" s="0" t="s">
        <v>1022</v>
      </c>
      <c r="B80" s="6" t="s">
        <v>861</v>
      </c>
      <c r="C80" s="6" t="s">
        <v>241</v>
      </c>
      <c r="D80" s="0" t="n">
        <v>209635</v>
      </c>
      <c r="E80" s="3" t="s">
        <v>862</v>
      </c>
      <c r="F80" s="3" t="s">
        <v>863</v>
      </c>
      <c r="G80" s="223" t="s">
        <v>1023</v>
      </c>
      <c r="H80" s="2" t="e">
        <f aca="true">OFFSET('Installed Sensors'!$B$1,MATCH($E80,'Installed Sensors'!$C:$C,0)-1,0)</f>
        <v>#N/A</v>
      </c>
      <c r="I80" s="2" t="e">
        <f aca="true">OFFSET('Installed Sensors'!$E$1,MATCH($E80,'Installed Sensors'!$C:$C,0)-1,0)</f>
        <v>#N/A</v>
      </c>
      <c r="J80" s="2" t="n">
        <v>40.111164</v>
      </c>
      <c r="K80" s="2" t="n">
        <v>-83.0654</v>
      </c>
      <c r="L80" s="234" t="n">
        <v>45336</v>
      </c>
      <c r="M80" s="234" t="n">
        <v>45351</v>
      </c>
    </row>
    <row r="81" customFormat="false" ht="12.75" hidden="false" customHeight="false" outlineLevel="0" collapsed="false">
      <c r="A81" s="0" t="s">
        <v>1024</v>
      </c>
      <c r="B81" s="6" t="s">
        <v>857</v>
      </c>
      <c r="C81" s="6" t="s">
        <v>241</v>
      </c>
      <c r="D81" s="0" t="n">
        <v>215589</v>
      </c>
      <c r="E81" s="3" t="s">
        <v>1025</v>
      </c>
      <c r="F81" s="3" t="s">
        <v>479</v>
      </c>
      <c r="G81" s="243" t="s">
        <v>646</v>
      </c>
      <c r="H81" s="2" t="s">
        <v>646</v>
      </c>
      <c r="I81" s="2" t="n">
        <v>43214</v>
      </c>
      <c r="J81" s="2" t="n">
        <v>40.03327</v>
      </c>
      <c r="K81" s="2" t="n">
        <v>-83.03867</v>
      </c>
      <c r="L81" s="234" t="n">
        <v>45547</v>
      </c>
      <c r="M81" s="244" t="n">
        <v>45916</v>
      </c>
    </row>
    <row r="82" customFormat="false" ht="12.75" hidden="false" customHeight="false" outlineLevel="0" collapsed="false">
      <c r="A82" s="0" t="s">
        <v>1026</v>
      </c>
      <c r="B82" s="6" t="s">
        <v>861</v>
      </c>
      <c r="C82" s="6" t="s">
        <v>245</v>
      </c>
      <c r="D82" s="0" t="n">
        <v>209921</v>
      </c>
      <c r="E82" s="3" t="s">
        <v>862</v>
      </c>
      <c r="F82" s="3" t="s">
        <v>863</v>
      </c>
      <c r="G82" s="223" t="s">
        <v>1027</v>
      </c>
      <c r="H82" s="2" t="e">
        <f aca="true">OFFSET('Installed Sensors'!$B$1,MATCH($E82,'Installed Sensors'!$C:$C,0)-1,0)</f>
        <v>#N/A</v>
      </c>
      <c r="I82" s="2" t="e">
        <f aca="true">OFFSET('Installed Sensors'!$E$1,MATCH($E82,'Installed Sensors'!$C:$C,0)-1,0)</f>
        <v>#N/A</v>
      </c>
      <c r="J82" s="2" t="n">
        <v>40.111164</v>
      </c>
      <c r="K82" s="2" t="n">
        <v>-83.0654</v>
      </c>
      <c r="L82" s="234" t="n">
        <v>45336</v>
      </c>
      <c r="M82" s="234" t="n">
        <v>45351</v>
      </c>
    </row>
    <row r="83" customFormat="false" ht="12.75" hidden="false" customHeight="false" outlineLevel="0" collapsed="false">
      <c r="A83" s="0" t="s">
        <v>1028</v>
      </c>
      <c r="B83" s="6" t="s">
        <v>861</v>
      </c>
      <c r="C83" s="6" t="s">
        <v>245</v>
      </c>
      <c r="D83" s="0" t="n">
        <v>215595</v>
      </c>
      <c r="E83" s="3" t="s">
        <v>1029</v>
      </c>
      <c r="F83" s="3" t="s">
        <v>479</v>
      </c>
      <c r="G83" s="223" t="s">
        <v>1030</v>
      </c>
      <c r="H83" s="2" t="s">
        <v>497</v>
      </c>
      <c r="I83" s="2" t="n">
        <v>43224</v>
      </c>
      <c r="J83" s="2" t="n">
        <v>40.02455</v>
      </c>
      <c r="K83" s="2" t="n">
        <v>-82.96616</v>
      </c>
      <c r="L83" s="234" t="n">
        <v>45584</v>
      </c>
      <c r="M83" s="234" t="n">
        <v>45807</v>
      </c>
    </row>
    <row r="84" customFormat="false" ht="12.75" hidden="false" customHeight="false" outlineLevel="0" collapsed="false">
      <c r="A84" s="0" t="s">
        <v>1031</v>
      </c>
      <c r="B84" s="6" t="s">
        <v>857</v>
      </c>
      <c r="C84" s="6" t="s">
        <v>245</v>
      </c>
      <c r="D84" s="0" t="n">
        <v>281484</v>
      </c>
      <c r="E84" s="3" t="s">
        <v>653</v>
      </c>
      <c r="F84" s="3" t="s">
        <v>1032</v>
      </c>
      <c r="G84" s="223" t="s">
        <v>1033</v>
      </c>
      <c r="H84" s="2" t="s">
        <v>497</v>
      </c>
      <c r="I84" s="2" t="n">
        <v>43224</v>
      </c>
      <c r="J84" s="2" t="n">
        <v>40.0243850970465</v>
      </c>
      <c r="K84" s="2" t="n">
        <v>-82.9663554249942</v>
      </c>
      <c r="L84" s="234" t="n">
        <v>45807</v>
      </c>
      <c r="M84" s="232"/>
    </row>
    <row r="85" customFormat="false" ht="12.75" hidden="false" customHeight="false" outlineLevel="0" collapsed="false">
      <c r="A85" s="0" t="s">
        <v>1034</v>
      </c>
      <c r="B85" s="6" t="s">
        <v>861</v>
      </c>
      <c r="C85" s="6" t="s">
        <v>249</v>
      </c>
      <c r="D85" s="0" t="n">
        <v>209685</v>
      </c>
      <c r="E85" s="3" t="s">
        <v>862</v>
      </c>
      <c r="F85" s="3" t="s">
        <v>863</v>
      </c>
      <c r="G85" s="223" t="s">
        <v>1035</v>
      </c>
      <c r="H85" s="2" t="e">
        <f aca="true">OFFSET('Installed Sensors'!$B$1,MATCH($E85,'Installed Sensors'!$C:$C,0)-1,0)</f>
        <v>#N/A</v>
      </c>
      <c r="I85" s="2" t="e">
        <f aca="true">OFFSET('Installed Sensors'!$E$1,MATCH($E85,'Installed Sensors'!$C:$C,0)-1,0)</f>
        <v>#N/A</v>
      </c>
      <c r="J85" s="2" t="n">
        <v>40.111164</v>
      </c>
      <c r="K85" s="2" t="n">
        <v>-83.0654</v>
      </c>
      <c r="L85" s="234" t="n">
        <v>45336</v>
      </c>
      <c r="M85" s="234" t="n">
        <v>45351</v>
      </c>
    </row>
    <row r="86" customFormat="false" ht="12.75" hidden="false" customHeight="false" outlineLevel="0" collapsed="false">
      <c r="A86" s="0" t="s">
        <v>1036</v>
      </c>
      <c r="B86" s="6" t="s">
        <v>857</v>
      </c>
      <c r="C86" s="6" t="s">
        <v>249</v>
      </c>
      <c r="D86" s="0" t="n">
        <v>215597</v>
      </c>
      <c r="E86" s="3" t="s">
        <v>659</v>
      </c>
      <c r="F86" s="3" t="s">
        <v>1032</v>
      </c>
      <c r="G86" s="223" t="s">
        <v>658</v>
      </c>
      <c r="H86" s="2" t="s">
        <v>658</v>
      </c>
      <c r="I86" s="2" t="n">
        <v>43081</v>
      </c>
      <c r="J86" s="2" t="n">
        <v>40.11601</v>
      </c>
      <c r="K86" s="2" t="n">
        <v>-82.93135</v>
      </c>
      <c r="L86" s="234" t="n">
        <v>45593</v>
      </c>
      <c r="M86" s="234" t="n">
        <v>45824</v>
      </c>
    </row>
    <row r="87" customFormat="false" ht="12.75" hidden="false" customHeight="false" outlineLevel="0" collapsed="false">
      <c r="A87" s="0" t="s">
        <v>1037</v>
      </c>
      <c r="B87" s="6" t="s">
        <v>861</v>
      </c>
      <c r="C87" s="6" t="s">
        <v>253</v>
      </c>
      <c r="D87" s="0" t="n">
        <v>209932</v>
      </c>
      <c r="E87" s="3" t="s">
        <v>862</v>
      </c>
      <c r="F87" s="3" t="s">
        <v>863</v>
      </c>
      <c r="G87" s="223" t="s">
        <v>1038</v>
      </c>
      <c r="H87" s="2" t="e">
        <f aca="true">OFFSET('Installed Sensors'!$B$1,MATCH($E87,'Installed Sensors'!$C:$C,0)-1,0)</f>
        <v>#N/A</v>
      </c>
      <c r="I87" s="2" t="e">
        <f aca="true">OFFSET('Installed Sensors'!$E$1,MATCH($E87,'Installed Sensors'!$C:$C,0)-1,0)</f>
        <v>#N/A</v>
      </c>
      <c r="J87" s="2" t="n">
        <v>40.111164</v>
      </c>
      <c r="K87" s="2" t="n">
        <v>-83.0654</v>
      </c>
      <c r="L87" s="234" t="n">
        <v>45336</v>
      </c>
      <c r="M87" s="234" t="n">
        <v>45351</v>
      </c>
    </row>
    <row r="88" customFormat="false" ht="12.75" hidden="false" customHeight="false" outlineLevel="0" collapsed="false">
      <c r="A88" s="0" t="s">
        <v>1039</v>
      </c>
      <c r="B88" s="6" t="s">
        <v>857</v>
      </c>
      <c r="C88" s="6" t="s">
        <v>253</v>
      </c>
      <c r="D88" s="0" t="n">
        <v>215599</v>
      </c>
      <c r="E88" s="3" t="s">
        <v>665</v>
      </c>
      <c r="F88" s="3" t="s">
        <v>1032</v>
      </c>
      <c r="G88" s="223" t="s">
        <v>664</v>
      </c>
      <c r="H88" s="2" t="s">
        <v>664</v>
      </c>
      <c r="I88" s="2" t="n">
        <v>43224</v>
      </c>
      <c r="J88" s="3" t="n">
        <v>40.0543256058725</v>
      </c>
      <c r="K88" s="2" t="n">
        <v>-82.9630007171911</v>
      </c>
      <c r="L88" s="234" t="n">
        <v>45611</v>
      </c>
      <c r="M88" s="232"/>
    </row>
    <row r="89" customFormat="false" ht="12.75" hidden="false" customHeight="false" outlineLevel="0" collapsed="false">
      <c r="A89" s="0" t="s">
        <v>1040</v>
      </c>
      <c r="B89" s="6" t="s">
        <v>861</v>
      </c>
      <c r="C89" s="6" t="s">
        <v>256</v>
      </c>
      <c r="D89" s="0" t="n">
        <v>209625</v>
      </c>
      <c r="E89" s="3" t="s">
        <v>862</v>
      </c>
      <c r="F89" s="3" t="s">
        <v>863</v>
      </c>
      <c r="G89" s="223" t="s">
        <v>1041</v>
      </c>
      <c r="H89" s="2" t="e">
        <f aca="true">OFFSET('Installed Sensors'!$B$1,MATCH($E89,'Installed Sensors'!$C:$C,0)-1,0)</f>
        <v>#N/A</v>
      </c>
      <c r="I89" s="2" t="e">
        <f aca="true">OFFSET('Installed Sensors'!$E$1,MATCH($E89,'Installed Sensors'!$C:$C,0)-1,0)</f>
        <v>#N/A</v>
      </c>
      <c r="J89" s="2" t="n">
        <v>40.111164</v>
      </c>
      <c r="K89" s="2" t="n">
        <v>-83.0654</v>
      </c>
      <c r="L89" s="234" t="n">
        <v>45336</v>
      </c>
      <c r="M89" s="234" t="n">
        <v>45351</v>
      </c>
    </row>
    <row r="90" customFormat="false" ht="12.75" hidden="false" customHeight="false" outlineLevel="0" collapsed="false">
      <c r="A90" s="0" t="s">
        <v>1042</v>
      </c>
      <c r="B90" s="6" t="s">
        <v>857</v>
      </c>
      <c r="C90" s="6" t="s">
        <v>256</v>
      </c>
      <c r="D90" s="0" t="n">
        <v>215601</v>
      </c>
      <c r="E90" s="3" t="s">
        <v>671</v>
      </c>
      <c r="F90" s="3" t="s">
        <v>1032</v>
      </c>
      <c r="G90" s="223" t="s">
        <v>670</v>
      </c>
      <c r="H90" s="2" t="s">
        <v>670</v>
      </c>
      <c r="I90" s="2" t="n">
        <v>43235</v>
      </c>
      <c r="J90" s="2" t="n">
        <v>40.0720311575814</v>
      </c>
      <c r="K90" s="2" t="n">
        <v>-83.0786714509244</v>
      </c>
      <c r="L90" s="234" t="n">
        <v>45611</v>
      </c>
      <c r="M90" s="232"/>
    </row>
    <row r="91" customFormat="false" ht="12.75" hidden="false" customHeight="false" outlineLevel="0" collapsed="false">
      <c r="A91" s="0" t="s">
        <v>1043</v>
      </c>
      <c r="B91" s="6" t="s">
        <v>861</v>
      </c>
      <c r="C91" s="6" t="s">
        <v>259</v>
      </c>
      <c r="D91" s="0" t="n">
        <v>210117</v>
      </c>
      <c r="E91" s="3" t="s">
        <v>862</v>
      </c>
      <c r="F91" s="3" t="s">
        <v>863</v>
      </c>
      <c r="G91" s="223" t="s">
        <v>1044</v>
      </c>
      <c r="H91" s="2" t="e">
        <f aca="true">OFFSET('Installed Sensors'!$B$1,MATCH($E91,'Installed Sensors'!$C:$C,0)-1,0)</f>
        <v>#N/A</v>
      </c>
      <c r="I91" s="2" t="e">
        <f aca="true">OFFSET('Installed Sensors'!$E$1,MATCH($E91,'Installed Sensors'!$C:$C,0)-1,0)</f>
        <v>#N/A</v>
      </c>
      <c r="J91" s="2" t="n">
        <v>40.111164</v>
      </c>
      <c r="K91" s="2" t="n">
        <v>-83.0654</v>
      </c>
      <c r="L91" s="234" t="n">
        <v>45336</v>
      </c>
      <c r="M91" s="234" t="n">
        <v>45351</v>
      </c>
    </row>
    <row r="92" customFormat="false" ht="13.8" hidden="false" customHeight="false" outlineLevel="0" collapsed="false">
      <c r="A92" s="0" t="s">
        <v>1045</v>
      </c>
      <c r="B92" s="6" t="s">
        <v>857</v>
      </c>
      <c r="C92" s="6" t="s">
        <v>259</v>
      </c>
      <c r="D92" s="0" t="n">
        <v>215603</v>
      </c>
      <c r="E92" s="3" t="s">
        <v>1046</v>
      </c>
      <c r="F92" s="3" t="s">
        <v>1032</v>
      </c>
      <c r="G92" s="223" t="s">
        <v>675</v>
      </c>
      <c r="H92" s="2" t="s">
        <v>675</v>
      </c>
      <c r="I92" s="2" t="n">
        <v>43228</v>
      </c>
      <c r="J92" s="3" t="n">
        <v>39.9333694636161</v>
      </c>
      <c r="K92" s="245" t="n">
        <v>-83.1365500644177</v>
      </c>
      <c r="L92" s="234" t="n">
        <v>45611</v>
      </c>
      <c r="M92" s="232" t="n">
        <v>45901</v>
      </c>
    </row>
    <row r="93" customFormat="false" ht="12.75" hidden="false" customHeight="false" outlineLevel="0" collapsed="false">
      <c r="A93" s="0" t="s">
        <v>1047</v>
      </c>
      <c r="B93" s="6" t="s">
        <v>857</v>
      </c>
      <c r="C93" s="6" t="s">
        <v>259</v>
      </c>
      <c r="E93" s="3" t="s">
        <v>1025</v>
      </c>
      <c r="F93" s="3" t="s">
        <v>479</v>
      </c>
      <c r="G93" s="243" t="s">
        <v>646</v>
      </c>
      <c r="H93" s="2" t="s">
        <v>646</v>
      </c>
      <c r="I93" s="2" t="n">
        <v>43214</v>
      </c>
      <c r="J93" s="2" t="n">
        <v>40.03327</v>
      </c>
      <c r="K93" s="2" t="n">
        <v>-83.03867</v>
      </c>
      <c r="L93" s="234" t="n">
        <v>45916</v>
      </c>
      <c r="M93" s="232"/>
    </row>
    <row r="94" customFormat="false" ht="12.75" hidden="false" customHeight="false" outlineLevel="0" collapsed="false">
      <c r="A94" s="0" t="s">
        <v>1048</v>
      </c>
      <c r="B94" s="6" t="s">
        <v>861</v>
      </c>
      <c r="C94" s="6" t="s">
        <v>263</v>
      </c>
      <c r="D94" s="0" t="n">
        <v>209657</v>
      </c>
      <c r="E94" s="3" t="s">
        <v>862</v>
      </c>
      <c r="F94" s="3" t="s">
        <v>863</v>
      </c>
      <c r="G94" s="223" t="s">
        <v>1049</v>
      </c>
      <c r="H94" s="2" t="e">
        <f aca="true">OFFSET('Installed Sensors'!$B$1,MATCH($E94,'Installed Sensors'!$C:$C,0)-1,0)</f>
        <v>#N/A</v>
      </c>
      <c r="I94" s="2" t="e">
        <f aca="true">OFFSET('Installed Sensors'!$E$1,MATCH($E94,'Installed Sensors'!$C:$C,0)-1,0)</f>
        <v>#N/A</v>
      </c>
      <c r="J94" s="2" t="n">
        <v>40.111164</v>
      </c>
      <c r="K94" s="2" t="n">
        <v>-83.0654</v>
      </c>
      <c r="L94" s="234" t="n">
        <v>45336</v>
      </c>
      <c r="M94" s="234" t="n">
        <v>45351</v>
      </c>
    </row>
    <row r="95" customFormat="false" ht="13.8" hidden="false" customHeight="false" outlineLevel="0" collapsed="false">
      <c r="A95" s="0" t="s">
        <v>1050</v>
      </c>
      <c r="B95" s="6" t="s">
        <v>857</v>
      </c>
      <c r="C95" s="6" t="s">
        <v>263</v>
      </c>
      <c r="D95" s="0" t="n">
        <v>215605</v>
      </c>
      <c r="E95" s="3" t="s">
        <v>683</v>
      </c>
      <c r="F95" s="3" t="s">
        <v>1032</v>
      </c>
      <c r="G95" s="223" t="s">
        <v>1051</v>
      </c>
      <c r="H95" s="2" t="s">
        <v>682</v>
      </c>
      <c r="I95" s="2" t="n">
        <v>43230</v>
      </c>
      <c r="J95" s="3" t="n">
        <v>40.0457473852351</v>
      </c>
      <c r="K95" s="245" t="n">
        <v>-82.8964807779111</v>
      </c>
      <c r="L95" s="234" t="n">
        <v>45615</v>
      </c>
      <c r="M95" s="232"/>
    </row>
    <row r="96" customFormat="false" ht="12.75" hidden="false" customHeight="false" outlineLevel="0" collapsed="false">
      <c r="A96" s="0" t="s">
        <v>1052</v>
      </c>
      <c r="B96" s="6" t="s">
        <v>861</v>
      </c>
      <c r="C96" s="6" t="s">
        <v>266</v>
      </c>
      <c r="D96" s="0" t="n">
        <v>209931</v>
      </c>
      <c r="E96" s="3" t="s">
        <v>862</v>
      </c>
      <c r="F96" s="3" t="s">
        <v>863</v>
      </c>
      <c r="G96" s="223" t="s">
        <v>1053</v>
      </c>
      <c r="H96" s="6" t="s">
        <v>594</v>
      </c>
      <c r="I96" s="2" t="n">
        <v>43235</v>
      </c>
      <c r="J96" s="0" t="n">
        <v>40.111164</v>
      </c>
      <c r="K96" s="2" t="n">
        <v>-83.0654</v>
      </c>
      <c r="L96" s="234" t="n">
        <v>45352</v>
      </c>
      <c r="M96" s="234" t="n">
        <v>45372</v>
      </c>
    </row>
    <row r="97" customFormat="false" ht="12.75" hidden="false" customHeight="false" outlineLevel="0" collapsed="false">
      <c r="A97" s="0" t="s">
        <v>1054</v>
      </c>
      <c r="B97" s="6" t="s">
        <v>857</v>
      </c>
      <c r="C97" s="6" t="s">
        <v>266</v>
      </c>
      <c r="D97" s="0" t="n">
        <v>221315</v>
      </c>
      <c r="E97" s="3" t="s">
        <v>689</v>
      </c>
      <c r="F97" s="3" t="s">
        <v>1032</v>
      </c>
      <c r="G97" s="223" t="s">
        <v>688</v>
      </c>
      <c r="H97" s="4" t="s">
        <v>688</v>
      </c>
      <c r="I97" s="2" t="n">
        <v>43229</v>
      </c>
      <c r="J97" s="4" t="n">
        <v>40.0797690154342</v>
      </c>
      <c r="K97" s="2" t="n">
        <v>-82.9926767509244</v>
      </c>
      <c r="L97" s="234" t="n">
        <v>45618</v>
      </c>
      <c r="M97" s="232"/>
    </row>
    <row r="98" customFormat="false" ht="12.75" hidden="false" customHeight="false" outlineLevel="0" collapsed="false">
      <c r="A98" s="0" t="s">
        <v>1055</v>
      </c>
      <c r="B98" s="6" t="s">
        <v>861</v>
      </c>
      <c r="C98" s="6" t="s">
        <v>269</v>
      </c>
      <c r="D98" s="0" t="n">
        <v>209661</v>
      </c>
      <c r="E98" s="3" t="s">
        <v>862</v>
      </c>
      <c r="F98" s="3" t="s">
        <v>863</v>
      </c>
      <c r="G98" s="223" t="s">
        <v>1056</v>
      </c>
      <c r="H98" s="6" t="s">
        <v>594</v>
      </c>
      <c r="I98" s="0" t="n">
        <v>43235</v>
      </c>
      <c r="J98" s="0" t="n">
        <v>40.111164</v>
      </c>
      <c r="K98" s="2" t="n">
        <v>-83.0654</v>
      </c>
      <c r="L98" s="234" t="n">
        <v>45351</v>
      </c>
      <c r="M98" s="234" t="n">
        <v>45372</v>
      </c>
    </row>
    <row r="99" customFormat="false" ht="12.75" hidden="false" customHeight="false" outlineLevel="0" collapsed="false">
      <c r="A99" s="0" t="s">
        <v>1057</v>
      </c>
      <c r="B99" s="6" t="s">
        <v>857</v>
      </c>
      <c r="C99" s="6" t="s">
        <v>269</v>
      </c>
      <c r="D99" s="0" t="n">
        <v>221317</v>
      </c>
      <c r="E99" s="3" t="s">
        <v>1058</v>
      </c>
      <c r="F99" s="3" t="s">
        <v>1032</v>
      </c>
      <c r="G99" s="223" t="s">
        <v>694</v>
      </c>
      <c r="H99" s="4" t="s">
        <v>694</v>
      </c>
      <c r="I99" s="0" t="n">
        <v>43206</v>
      </c>
      <c r="J99" s="0" t="n">
        <v>39.9446846807491</v>
      </c>
      <c r="K99" s="2" t="n">
        <v>-82.9935872556883</v>
      </c>
      <c r="L99" s="234" t="n">
        <v>45618</v>
      </c>
      <c r="M99" s="232"/>
    </row>
    <row r="100" customFormat="false" ht="12.75" hidden="false" customHeight="false" outlineLevel="0" collapsed="false">
      <c r="A100" s="0" t="s">
        <v>1059</v>
      </c>
      <c r="B100" s="6" t="s">
        <v>861</v>
      </c>
      <c r="C100" s="6" t="s">
        <v>272</v>
      </c>
      <c r="D100" s="0" t="n">
        <v>209905</v>
      </c>
      <c r="E100" s="3" t="s">
        <v>862</v>
      </c>
      <c r="F100" s="3" t="s">
        <v>863</v>
      </c>
      <c r="G100" s="223" t="s">
        <v>1060</v>
      </c>
      <c r="H100" s="6" t="s">
        <v>594</v>
      </c>
      <c r="I100" s="0" t="n">
        <v>43235</v>
      </c>
      <c r="J100" s="0" t="n">
        <v>40.111164</v>
      </c>
      <c r="K100" s="2" t="n">
        <v>-83.0654</v>
      </c>
      <c r="L100" s="234" t="n">
        <v>45351</v>
      </c>
      <c r="M100" s="234" t="n">
        <v>45372</v>
      </c>
    </row>
    <row r="101" customFormat="false" ht="23.85" hidden="false" customHeight="false" outlineLevel="0" collapsed="false">
      <c r="A101" s="0" t="s">
        <v>1061</v>
      </c>
      <c r="B101" s="6" t="s">
        <v>857</v>
      </c>
      <c r="C101" s="6" t="s">
        <v>272</v>
      </c>
      <c r="D101" s="0" t="n">
        <v>221319</v>
      </c>
      <c r="E101" s="3" t="s">
        <v>700</v>
      </c>
      <c r="F101" s="3" t="s">
        <v>701</v>
      </c>
      <c r="G101" s="223" t="s">
        <v>1062</v>
      </c>
      <c r="H101" s="4" t="s">
        <v>699</v>
      </c>
      <c r="I101" s="0" t="n">
        <v>43210</v>
      </c>
      <c r="J101" s="4" t="n">
        <v>40.0056053725773</v>
      </c>
      <c r="K101" s="2" t="n">
        <v>-83.0352022344059</v>
      </c>
      <c r="L101" s="234" t="n">
        <v>45716</v>
      </c>
      <c r="M101" s="232"/>
    </row>
    <row r="102" customFormat="false" ht="12.75" hidden="false" customHeight="false" outlineLevel="0" collapsed="false">
      <c r="A102" s="0" t="s">
        <v>1063</v>
      </c>
      <c r="B102" s="6" t="s">
        <v>861</v>
      </c>
      <c r="C102" s="6" t="s">
        <v>275</v>
      </c>
      <c r="D102" s="0" t="n">
        <v>209875</v>
      </c>
      <c r="E102" s="3" t="s">
        <v>862</v>
      </c>
      <c r="F102" s="3" t="s">
        <v>863</v>
      </c>
      <c r="G102" s="223" t="s">
        <v>1064</v>
      </c>
      <c r="H102" s="6" t="s">
        <v>594</v>
      </c>
      <c r="I102" s="0" t="n">
        <v>43235</v>
      </c>
      <c r="J102" s="0" t="n">
        <v>40.111164</v>
      </c>
      <c r="K102" s="2" t="n">
        <v>-83.0654</v>
      </c>
      <c r="L102" s="234" t="n">
        <v>45351</v>
      </c>
      <c r="M102" s="234" t="n">
        <v>45372</v>
      </c>
    </row>
    <row r="103" customFormat="false" ht="13.8" hidden="false" customHeight="false" outlineLevel="0" collapsed="false">
      <c r="A103" s="0" t="s">
        <v>1065</v>
      </c>
      <c r="B103" s="6" t="s">
        <v>857</v>
      </c>
      <c r="C103" s="6" t="s">
        <v>275</v>
      </c>
      <c r="D103" s="0" t="n">
        <v>221321</v>
      </c>
      <c r="E103" s="3" t="s">
        <v>706</v>
      </c>
      <c r="F103" s="3" t="s">
        <v>1032</v>
      </c>
      <c r="G103" s="223" t="s">
        <v>514</v>
      </c>
      <c r="H103" s="4" t="s">
        <v>514</v>
      </c>
      <c r="I103" s="0" t="n">
        <v>43214</v>
      </c>
      <c r="J103" s="4" t="n">
        <v>40.0334535528774</v>
      </c>
      <c r="K103" s="245" t="n">
        <v>-83.0211754828088</v>
      </c>
      <c r="L103" s="234" t="n">
        <v>45621</v>
      </c>
      <c r="M103" s="232"/>
    </row>
    <row r="104" customFormat="false" ht="12.75" hidden="false" customHeight="false" outlineLevel="0" collapsed="false">
      <c r="A104" s="0" t="s">
        <v>1066</v>
      </c>
      <c r="B104" s="6" t="s">
        <v>861</v>
      </c>
      <c r="C104" s="6" t="s">
        <v>278</v>
      </c>
      <c r="D104" s="0" t="n">
        <v>209663</v>
      </c>
      <c r="E104" s="3" t="s">
        <v>862</v>
      </c>
      <c r="F104" s="3" t="s">
        <v>863</v>
      </c>
      <c r="G104" s="223" t="s">
        <v>1067</v>
      </c>
      <c r="H104" s="6" t="s">
        <v>594</v>
      </c>
      <c r="I104" s="0" t="n">
        <v>43235</v>
      </c>
      <c r="J104" s="0" t="n">
        <v>40.111164</v>
      </c>
      <c r="K104" s="2" t="n">
        <v>-83.0654</v>
      </c>
      <c r="L104" s="234" t="n">
        <v>45351</v>
      </c>
      <c r="M104" s="234" t="n">
        <v>45372</v>
      </c>
    </row>
    <row r="105" customFormat="false" ht="12.75" hidden="false" customHeight="false" outlineLevel="0" collapsed="false">
      <c r="A105" s="0" t="s">
        <v>1068</v>
      </c>
      <c r="B105" s="6" t="s">
        <v>857</v>
      </c>
      <c r="C105" s="6" t="s">
        <v>278</v>
      </c>
      <c r="D105" s="0" t="n">
        <v>221323</v>
      </c>
      <c r="E105" s="3" t="s">
        <v>712</v>
      </c>
      <c r="F105" s="3" t="s">
        <v>1032</v>
      </c>
      <c r="G105" s="223" t="s">
        <v>711</v>
      </c>
      <c r="H105" s="4" t="s">
        <v>711</v>
      </c>
      <c r="I105" s="0" t="n">
        <v>43201</v>
      </c>
      <c r="J105" s="4" t="n">
        <v>39.9924929255166</v>
      </c>
      <c r="K105" s="2" t="n">
        <v>-83.0181901018488</v>
      </c>
      <c r="L105" s="234" t="n">
        <v>45621</v>
      </c>
      <c r="M105" s="232"/>
    </row>
    <row r="106" customFormat="false" ht="12.75" hidden="false" customHeight="false" outlineLevel="0" collapsed="false">
      <c r="A106" s="0" t="s">
        <v>1069</v>
      </c>
      <c r="B106" s="6" t="s">
        <v>861</v>
      </c>
      <c r="C106" s="6" t="s">
        <v>281</v>
      </c>
      <c r="D106" s="0" t="n">
        <v>210127</v>
      </c>
      <c r="E106" s="3" t="s">
        <v>862</v>
      </c>
      <c r="F106" s="3" t="s">
        <v>863</v>
      </c>
      <c r="G106" s="223" t="s">
        <v>1070</v>
      </c>
      <c r="H106" s="6" t="s">
        <v>594</v>
      </c>
      <c r="I106" s="0" t="n">
        <v>43235</v>
      </c>
      <c r="J106" s="0" t="n">
        <v>40.111164</v>
      </c>
      <c r="K106" s="2" t="n">
        <v>-83.0654</v>
      </c>
      <c r="L106" s="234" t="n">
        <v>45351</v>
      </c>
      <c r="M106" s="234" t="n">
        <v>45372</v>
      </c>
    </row>
    <row r="107" customFormat="false" ht="12.75" hidden="false" customHeight="false" outlineLevel="0" collapsed="false">
      <c r="A107" s="0" t="s">
        <v>1071</v>
      </c>
      <c r="B107" s="6" t="s">
        <v>857</v>
      </c>
      <c r="C107" s="6" t="s">
        <v>281</v>
      </c>
      <c r="D107" s="0" t="n">
        <v>221325</v>
      </c>
      <c r="E107" s="3" t="s">
        <v>717</v>
      </c>
      <c r="F107" s="3" t="s">
        <v>1032</v>
      </c>
      <c r="G107" s="223" t="s">
        <v>716</v>
      </c>
      <c r="H107" s="4" t="s">
        <v>716</v>
      </c>
      <c r="I107" s="0" t="n">
        <v>43219</v>
      </c>
      <c r="J107" s="4" t="n">
        <v>40.0077543142795</v>
      </c>
      <c r="K107" s="2" t="n">
        <v>-82.9416348785159</v>
      </c>
      <c r="L107" s="234" t="n">
        <v>45621</v>
      </c>
      <c r="M107" s="232"/>
    </row>
    <row r="108" customFormat="false" ht="12.75" hidden="false" customHeight="false" outlineLevel="0" collapsed="false">
      <c r="A108" s="0" t="s">
        <v>1072</v>
      </c>
      <c r="B108" s="6" t="s">
        <v>861</v>
      </c>
      <c r="C108" s="6" t="s">
        <v>284</v>
      </c>
      <c r="D108" s="0" t="n">
        <v>209647</v>
      </c>
      <c r="E108" s="3" t="s">
        <v>862</v>
      </c>
      <c r="F108" s="3" t="s">
        <v>863</v>
      </c>
      <c r="G108" s="223" t="s">
        <v>1073</v>
      </c>
      <c r="H108" s="6" t="s">
        <v>594</v>
      </c>
      <c r="I108" s="0" t="n">
        <v>43235</v>
      </c>
      <c r="J108" s="0" t="n">
        <v>40.111164</v>
      </c>
      <c r="K108" s="2" t="n">
        <v>-83.0654</v>
      </c>
      <c r="L108" s="234" t="n">
        <v>45351</v>
      </c>
      <c r="M108" s="234" t="n">
        <v>45372</v>
      </c>
    </row>
    <row r="109" customFormat="false" ht="12.75" hidden="false" customHeight="false" outlineLevel="0" collapsed="false">
      <c r="A109" s="0" t="s">
        <v>1074</v>
      </c>
      <c r="B109" s="6" t="s">
        <v>857</v>
      </c>
      <c r="C109" s="6" t="s">
        <v>284</v>
      </c>
      <c r="D109" s="0" t="n">
        <v>221327</v>
      </c>
      <c r="E109" s="3" t="s">
        <v>722</v>
      </c>
      <c r="F109" s="3" t="s">
        <v>1032</v>
      </c>
      <c r="G109" s="223" t="s">
        <v>1075</v>
      </c>
      <c r="H109" s="4" t="s">
        <v>1075</v>
      </c>
      <c r="I109" s="0" t="n">
        <v>43231</v>
      </c>
      <c r="J109" s="0" t="n">
        <v>40.0744865715224</v>
      </c>
      <c r="K109" s="2" t="n">
        <v>-82.9459702355822</v>
      </c>
      <c r="L109" s="234" t="n">
        <v>45621</v>
      </c>
      <c r="M109" s="232"/>
    </row>
    <row r="110" customFormat="false" ht="12.75" hidden="false" customHeight="false" outlineLevel="0" collapsed="false">
      <c r="A110" s="0" t="s">
        <v>1076</v>
      </c>
      <c r="B110" s="6" t="s">
        <v>861</v>
      </c>
      <c r="C110" s="6" t="s">
        <v>287</v>
      </c>
      <c r="D110" s="0" t="n">
        <v>209639</v>
      </c>
      <c r="E110" s="3" t="s">
        <v>862</v>
      </c>
      <c r="F110" s="3" t="s">
        <v>863</v>
      </c>
      <c r="G110" s="223" t="s">
        <v>1077</v>
      </c>
      <c r="H110" s="6" t="s">
        <v>594</v>
      </c>
      <c r="I110" s="0" t="n">
        <v>43235</v>
      </c>
      <c r="J110" s="0" t="n">
        <v>40.111164</v>
      </c>
      <c r="K110" s="2" t="n">
        <v>-83.0654</v>
      </c>
      <c r="L110" s="234" t="n">
        <v>45351</v>
      </c>
      <c r="M110" s="234" t="n">
        <v>45372</v>
      </c>
    </row>
    <row r="111" customFormat="false" ht="12.75" hidden="false" customHeight="false" outlineLevel="0" collapsed="false">
      <c r="A111" s="0" t="s">
        <v>1078</v>
      </c>
      <c r="B111" s="6" t="s">
        <v>857</v>
      </c>
      <c r="C111" s="6" t="s">
        <v>287</v>
      </c>
      <c r="D111" s="0" t="n">
        <v>221329</v>
      </c>
      <c r="E111" s="3" t="s">
        <v>727</v>
      </c>
      <c r="F111" s="3" t="s">
        <v>1032</v>
      </c>
      <c r="G111" s="223" t="s">
        <v>1079</v>
      </c>
      <c r="H111" s="4" t="s">
        <v>1079</v>
      </c>
      <c r="I111" s="0" t="n">
        <v>43214</v>
      </c>
      <c r="J111" s="4" t="n">
        <v>40.0704039316577</v>
      </c>
      <c r="K111" s="2" t="n">
        <v>-83.0293919779111</v>
      </c>
      <c r="L111" s="234" t="n">
        <v>45622</v>
      </c>
      <c r="M111" s="232"/>
    </row>
    <row r="112" customFormat="false" ht="12.75" hidden="false" customHeight="false" outlineLevel="0" collapsed="false">
      <c r="A112" s="0" t="s">
        <v>1080</v>
      </c>
      <c r="B112" s="6" t="s">
        <v>861</v>
      </c>
      <c r="C112" s="6" t="s">
        <v>290</v>
      </c>
      <c r="D112" s="0" t="n">
        <v>209631</v>
      </c>
      <c r="E112" s="3" t="s">
        <v>862</v>
      </c>
      <c r="F112" s="3" t="s">
        <v>863</v>
      </c>
      <c r="G112" s="223" t="s">
        <v>1081</v>
      </c>
      <c r="H112" s="6" t="s">
        <v>594</v>
      </c>
      <c r="I112" s="0" t="n">
        <v>43235</v>
      </c>
      <c r="J112" s="0" t="n">
        <v>40.111164</v>
      </c>
      <c r="K112" s="2" t="n">
        <v>-83.0654</v>
      </c>
      <c r="L112" s="234" t="n">
        <v>45351</v>
      </c>
      <c r="M112" s="234" t="n">
        <v>45372</v>
      </c>
    </row>
    <row r="113" customFormat="false" ht="13.8" hidden="false" customHeight="false" outlineLevel="0" collapsed="false">
      <c r="A113" s="0" t="s">
        <v>1082</v>
      </c>
      <c r="B113" s="6" t="s">
        <v>857</v>
      </c>
      <c r="C113" s="6" t="s">
        <v>290</v>
      </c>
      <c r="D113" s="0" t="n">
        <v>221331</v>
      </c>
      <c r="E113" s="3" t="s">
        <v>733</v>
      </c>
      <c r="F113" s="3" t="s">
        <v>1032</v>
      </c>
      <c r="I113" s="0" t="n">
        <v>43209</v>
      </c>
      <c r="J113" s="0" t="n">
        <v>39.9702100583749</v>
      </c>
      <c r="K113" s="245" t="n">
        <v>-82.9151773490755</v>
      </c>
      <c r="L113" s="234" t="n">
        <v>45629</v>
      </c>
      <c r="M113" s="232"/>
    </row>
    <row r="114" customFormat="false" ht="12.75" hidden="false" customHeight="false" outlineLevel="0" collapsed="false">
      <c r="A114" s="0" t="s">
        <v>1083</v>
      </c>
      <c r="B114" s="6" t="s">
        <v>861</v>
      </c>
      <c r="C114" s="6" t="s">
        <v>293</v>
      </c>
      <c r="D114" s="0" t="n">
        <v>209677</v>
      </c>
      <c r="E114" s="3" t="s">
        <v>862</v>
      </c>
      <c r="F114" s="3" t="s">
        <v>863</v>
      </c>
      <c r="G114" s="223" t="s">
        <v>1084</v>
      </c>
      <c r="H114" s="6" t="s">
        <v>594</v>
      </c>
      <c r="I114" s="0" t="n">
        <v>43235</v>
      </c>
      <c r="J114" s="0" t="n">
        <v>40.111164</v>
      </c>
      <c r="K114" s="2" t="n">
        <v>-83.0654</v>
      </c>
      <c r="L114" s="234" t="n">
        <v>45351</v>
      </c>
      <c r="M114" s="234" t="n">
        <v>45372</v>
      </c>
    </row>
    <row r="115" customFormat="false" ht="12.75" hidden="false" customHeight="false" outlineLevel="0" collapsed="false">
      <c r="A115" s="0" t="s">
        <v>1085</v>
      </c>
      <c r="B115" s="6" t="s">
        <v>857</v>
      </c>
      <c r="C115" s="6" t="s">
        <v>293</v>
      </c>
      <c r="D115" s="0" t="n">
        <v>221333</v>
      </c>
      <c r="E115" s="3" t="s">
        <v>295</v>
      </c>
      <c r="F115" s="3" t="s">
        <v>1032</v>
      </c>
      <c r="I115" s="0" t="n">
        <v>43209</v>
      </c>
      <c r="J115" s="4" t="n">
        <v>39.9495362093443</v>
      </c>
      <c r="K115" s="2" t="n">
        <v>-82.9177206067466</v>
      </c>
      <c r="L115" s="234" t="n">
        <v>45639</v>
      </c>
      <c r="M115" s="232"/>
    </row>
    <row r="116" customFormat="false" ht="12.75" hidden="false" customHeight="false" outlineLevel="0" collapsed="false">
      <c r="A116" s="0" t="s">
        <v>1086</v>
      </c>
      <c r="B116" s="6" t="s">
        <v>861</v>
      </c>
      <c r="C116" s="6" t="s">
        <v>296</v>
      </c>
      <c r="D116" s="0" t="n">
        <v>209683</v>
      </c>
      <c r="E116" s="3" t="s">
        <v>862</v>
      </c>
      <c r="F116" s="3" t="s">
        <v>863</v>
      </c>
      <c r="G116" s="223" t="s">
        <v>1087</v>
      </c>
      <c r="H116" s="6" t="s">
        <v>594</v>
      </c>
      <c r="I116" s="0" t="n">
        <v>43235</v>
      </c>
      <c r="J116" s="0" t="n">
        <v>40.111164</v>
      </c>
      <c r="K116" s="2" t="n">
        <v>-83.0654</v>
      </c>
      <c r="L116" s="234" t="n">
        <v>45372</v>
      </c>
      <c r="M116" s="234" t="n">
        <v>45387</v>
      </c>
    </row>
    <row r="117" customFormat="false" ht="12.75" hidden="false" customHeight="false" outlineLevel="0" collapsed="false">
      <c r="A117" s="0" t="s">
        <v>1088</v>
      </c>
      <c r="B117" s="6" t="s">
        <v>857</v>
      </c>
      <c r="C117" s="6" t="s">
        <v>296</v>
      </c>
      <c r="D117" s="0" t="n">
        <v>221335</v>
      </c>
      <c r="E117" s="4" t="s">
        <v>298</v>
      </c>
      <c r="F117" s="3" t="s">
        <v>1089</v>
      </c>
      <c r="I117" s="0" t="n">
        <v>43119</v>
      </c>
      <c r="J117" s="0" t="n">
        <v>39.9568758152259</v>
      </c>
      <c r="K117" s="2" t="n">
        <v>-83.23294687976</v>
      </c>
      <c r="L117" s="234" t="n">
        <v>45644</v>
      </c>
      <c r="M117" s="232"/>
    </row>
    <row r="118" customFormat="false" ht="12.75" hidden="false" customHeight="false" outlineLevel="0" collapsed="false">
      <c r="A118" s="0" t="s">
        <v>1090</v>
      </c>
      <c r="B118" s="6" t="s">
        <v>861</v>
      </c>
      <c r="C118" s="6" t="s">
        <v>299</v>
      </c>
      <c r="D118" s="0" t="n">
        <v>209617</v>
      </c>
      <c r="E118" s="3" t="s">
        <v>862</v>
      </c>
      <c r="F118" s="3" t="s">
        <v>863</v>
      </c>
      <c r="G118" s="223" t="s">
        <v>1091</v>
      </c>
      <c r="H118" s="6" t="s">
        <v>594</v>
      </c>
      <c r="I118" s="0" t="n">
        <v>43235</v>
      </c>
      <c r="J118" s="0" t="n">
        <v>40.111164</v>
      </c>
      <c r="K118" s="2" t="n">
        <v>-83.0654</v>
      </c>
      <c r="L118" s="234" t="n">
        <v>45372</v>
      </c>
      <c r="M118" s="234" t="n">
        <v>45387</v>
      </c>
    </row>
    <row r="119" customFormat="false" ht="12.75" hidden="false" customHeight="false" outlineLevel="0" collapsed="false">
      <c r="A119" s="0" t="s">
        <v>1092</v>
      </c>
      <c r="B119" s="6" t="s">
        <v>857</v>
      </c>
      <c r="C119" s="6" t="s">
        <v>299</v>
      </c>
      <c r="D119" s="0" t="n">
        <v>221337</v>
      </c>
      <c r="E119" s="3" t="s">
        <v>749</v>
      </c>
      <c r="F119" s="3" t="s">
        <v>1032</v>
      </c>
      <c r="G119" s="223" t="s">
        <v>748</v>
      </c>
      <c r="H119" s="6" t="s">
        <v>748</v>
      </c>
      <c r="I119" s="0" t="n">
        <v>43203</v>
      </c>
      <c r="J119" s="4" t="n">
        <v>39.9669698891249</v>
      </c>
      <c r="K119" s="2" t="n">
        <v>-82.9711124509244</v>
      </c>
      <c r="L119" s="234" t="n">
        <v>45645</v>
      </c>
      <c r="M119" s="232"/>
    </row>
    <row r="120" customFormat="false" ht="12.75" hidden="false" customHeight="false" outlineLevel="0" collapsed="false">
      <c r="A120" s="0" t="s">
        <v>1093</v>
      </c>
      <c r="B120" s="6" t="s">
        <v>861</v>
      </c>
      <c r="C120" s="6" t="s">
        <v>302</v>
      </c>
      <c r="D120" s="0" t="n">
        <v>209655</v>
      </c>
      <c r="E120" s="3" t="s">
        <v>862</v>
      </c>
      <c r="F120" s="3" t="s">
        <v>863</v>
      </c>
      <c r="G120" s="223" t="s">
        <v>1094</v>
      </c>
      <c r="H120" s="6" t="s">
        <v>594</v>
      </c>
      <c r="I120" s="0" t="n">
        <v>43235</v>
      </c>
      <c r="J120" s="0" t="n">
        <v>40.111164</v>
      </c>
      <c r="K120" s="2" t="n">
        <v>-83.0654</v>
      </c>
      <c r="L120" s="234" t="n">
        <v>45372</v>
      </c>
      <c r="M120" s="234" t="n">
        <v>45387</v>
      </c>
    </row>
    <row r="121" customFormat="false" ht="12.75" hidden="false" customHeight="false" outlineLevel="0" collapsed="false">
      <c r="A121" s="0" t="s">
        <v>1095</v>
      </c>
      <c r="B121" s="6" t="s">
        <v>861</v>
      </c>
      <c r="C121" s="6" t="s">
        <v>302</v>
      </c>
      <c r="D121" s="0" t="n">
        <v>221339</v>
      </c>
      <c r="E121" s="4" t="s">
        <v>304</v>
      </c>
      <c r="F121" s="3" t="s">
        <v>756</v>
      </c>
      <c r="G121" s="223" t="s">
        <v>754</v>
      </c>
      <c r="I121" s="0" t="n">
        <v>43219</v>
      </c>
      <c r="J121" s="4" t="n">
        <v>40.0059380521691</v>
      </c>
      <c r="K121" s="2" t="n">
        <v>-82.8786423085955</v>
      </c>
      <c r="L121" s="234" t="n">
        <v>45673</v>
      </c>
      <c r="M121" s="234" t="n">
        <v>45804</v>
      </c>
    </row>
    <row r="122" customFormat="false" ht="13.8" hidden="false" customHeight="false" outlineLevel="0" collapsed="false">
      <c r="A122" s="0" t="s">
        <v>1096</v>
      </c>
      <c r="B122" s="6" t="s">
        <v>857</v>
      </c>
      <c r="C122" s="6" t="s">
        <v>302</v>
      </c>
      <c r="D122" s="0" t="n">
        <v>280754</v>
      </c>
      <c r="E122" s="245" t="s">
        <v>1097</v>
      </c>
      <c r="F122" s="3" t="s">
        <v>756</v>
      </c>
      <c r="G122" s="223" t="s">
        <v>1098</v>
      </c>
      <c r="I122" s="0" t="n">
        <v>43219</v>
      </c>
      <c r="J122" s="246" t="n">
        <v>40.0054773676233</v>
      </c>
      <c r="K122" s="245" t="n">
        <v>-82.899577180609</v>
      </c>
      <c r="L122" s="234" t="n">
        <v>45804</v>
      </c>
      <c r="M122" s="247"/>
    </row>
    <row r="123" customFormat="false" ht="12.75" hidden="false" customHeight="false" outlineLevel="0" collapsed="false">
      <c r="A123" s="0" t="s">
        <v>1099</v>
      </c>
      <c r="B123" s="6" t="s">
        <v>861</v>
      </c>
      <c r="C123" s="6" t="s">
        <v>305</v>
      </c>
      <c r="D123" s="0" t="n">
        <v>209641</v>
      </c>
      <c r="E123" s="3" t="s">
        <v>862</v>
      </c>
      <c r="F123" s="3" t="s">
        <v>863</v>
      </c>
      <c r="G123" s="223" t="s">
        <v>1100</v>
      </c>
      <c r="H123" s="6" t="s">
        <v>594</v>
      </c>
      <c r="I123" s="0" t="n">
        <v>43235</v>
      </c>
      <c r="J123" s="0" t="n">
        <v>40.111164</v>
      </c>
      <c r="K123" s="2" t="n">
        <v>-83.0654</v>
      </c>
      <c r="L123" s="234" t="n">
        <v>45372</v>
      </c>
      <c r="M123" s="234" t="n">
        <v>45387</v>
      </c>
    </row>
    <row r="124" customFormat="false" ht="13.8" hidden="false" customHeight="false" outlineLevel="0" collapsed="false">
      <c r="A124" s="0" t="s">
        <v>1101</v>
      </c>
      <c r="B124" s="6" t="s">
        <v>857</v>
      </c>
      <c r="C124" s="6" t="s">
        <v>305</v>
      </c>
      <c r="D124" s="0" t="n">
        <v>221341</v>
      </c>
      <c r="E124" s="3" t="s">
        <v>762</v>
      </c>
      <c r="F124" s="3" t="s">
        <v>1032</v>
      </c>
      <c r="I124" s="0" t="n">
        <v>43231</v>
      </c>
      <c r="J124" s="4" t="n">
        <v>40.0943492444427</v>
      </c>
      <c r="K124" s="245" t="n">
        <v>-82.9417876220888</v>
      </c>
      <c r="L124" s="234" t="n">
        <v>45673</v>
      </c>
      <c r="M124" s="232"/>
    </row>
    <row r="125" customFormat="false" ht="12.75" hidden="false" customHeight="false" outlineLevel="0" collapsed="false">
      <c r="A125" s="0" t="s">
        <v>1102</v>
      </c>
      <c r="B125" s="6" t="s">
        <v>861</v>
      </c>
      <c r="C125" s="6" t="s">
        <v>308</v>
      </c>
      <c r="D125" s="0" t="n">
        <v>209901</v>
      </c>
      <c r="E125" s="3" t="s">
        <v>862</v>
      </c>
      <c r="F125" s="3" t="s">
        <v>863</v>
      </c>
      <c r="G125" s="223" t="s">
        <v>1103</v>
      </c>
      <c r="H125" s="6" t="s">
        <v>594</v>
      </c>
      <c r="I125" s="0" t="n">
        <v>43235</v>
      </c>
      <c r="J125" s="0" t="n">
        <v>40.111164</v>
      </c>
      <c r="K125" s="2" t="n">
        <v>-83.0654</v>
      </c>
      <c r="L125" s="234" t="n">
        <v>45372</v>
      </c>
      <c r="M125" s="234" t="n">
        <v>45387</v>
      </c>
    </row>
    <row r="126" customFormat="false" ht="12.75" hidden="false" customHeight="false" outlineLevel="0" collapsed="false">
      <c r="A126" s="0" t="s">
        <v>1104</v>
      </c>
      <c r="B126" s="6" t="s">
        <v>857</v>
      </c>
      <c r="C126" s="6" t="s">
        <v>308</v>
      </c>
      <c r="D126" s="0" t="n">
        <v>221343</v>
      </c>
      <c r="E126" s="3" t="s">
        <v>1105</v>
      </c>
      <c r="F126" s="3" t="s">
        <v>479</v>
      </c>
      <c r="G126" s="223" t="s">
        <v>767</v>
      </c>
      <c r="H126" s="6" t="s">
        <v>767</v>
      </c>
      <c r="I126" s="0" t="n">
        <v>43207</v>
      </c>
      <c r="J126" s="0" t="n">
        <v>39.9286099543049</v>
      </c>
      <c r="K126" s="2" t="n">
        <v>-82.9531067506181</v>
      </c>
      <c r="L126" s="234" t="n">
        <v>45709</v>
      </c>
      <c r="M126" s="232"/>
    </row>
    <row r="127" customFormat="false" ht="12.75" hidden="false" customHeight="false" outlineLevel="0" collapsed="false">
      <c r="A127" s="0" t="s">
        <v>1106</v>
      </c>
      <c r="B127" s="6" t="s">
        <v>861</v>
      </c>
      <c r="C127" s="6" t="s">
        <v>311</v>
      </c>
      <c r="D127" s="0" t="n">
        <v>209945</v>
      </c>
      <c r="E127" s="3" t="s">
        <v>862</v>
      </c>
      <c r="F127" s="3" t="s">
        <v>863</v>
      </c>
      <c r="G127" s="223" t="s">
        <v>1107</v>
      </c>
      <c r="H127" s="6" t="s">
        <v>594</v>
      </c>
      <c r="I127" s="0" t="n">
        <v>43235</v>
      </c>
      <c r="J127" s="0" t="n">
        <v>40.111164</v>
      </c>
      <c r="K127" s="2" t="n">
        <v>-83.0654</v>
      </c>
      <c r="L127" s="234" t="n">
        <v>45372</v>
      </c>
      <c r="M127" s="234" t="n">
        <v>45387</v>
      </c>
    </row>
    <row r="128" customFormat="false" ht="12.75" hidden="false" customHeight="false" outlineLevel="0" collapsed="false">
      <c r="A128" s="0" t="s">
        <v>1108</v>
      </c>
      <c r="B128" s="6" t="s">
        <v>857</v>
      </c>
      <c r="C128" s="6" t="s">
        <v>311</v>
      </c>
      <c r="D128" s="0" t="n">
        <v>221345</v>
      </c>
      <c r="E128" s="3" t="s">
        <v>774</v>
      </c>
      <c r="F128" s="3" t="s">
        <v>479</v>
      </c>
      <c r="I128" s="0" t="n">
        <v>43204</v>
      </c>
      <c r="J128" s="0" t="n">
        <v>39.9499545587033</v>
      </c>
      <c r="K128" s="2" t="n">
        <v>-83.0899565932533</v>
      </c>
      <c r="L128" s="234" t="n">
        <v>45681</v>
      </c>
      <c r="M128" s="232"/>
    </row>
    <row r="129" customFormat="false" ht="12.75" hidden="false" customHeight="false" outlineLevel="0" collapsed="false">
      <c r="A129" s="0" t="s">
        <v>1109</v>
      </c>
      <c r="B129" s="6" t="s">
        <v>861</v>
      </c>
      <c r="C129" s="6" t="s">
        <v>314</v>
      </c>
      <c r="D129" s="0" t="n">
        <v>209941</v>
      </c>
      <c r="E129" s="3" t="s">
        <v>862</v>
      </c>
      <c r="F129" s="3" t="s">
        <v>863</v>
      </c>
      <c r="G129" s="223" t="s">
        <v>1110</v>
      </c>
      <c r="H129" s="6" t="s">
        <v>594</v>
      </c>
      <c r="I129" s="0" t="n">
        <v>43235</v>
      </c>
      <c r="J129" s="0" t="n">
        <v>40.111164</v>
      </c>
      <c r="K129" s="2" t="n">
        <v>-83.0654</v>
      </c>
      <c r="L129" s="234" t="n">
        <v>45372</v>
      </c>
      <c r="M129" s="234" t="n">
        <v>45387</v>
      </c>
    </row>
    <row r="130" customFormat="false" ht="13.8" hidden="false" customHeight="false" outlineLevel="0" collapsed="false">
      <c r="A130" s="0" t="s">
        <v>1111</v>
      </c>
      <c r="B130" s="6" t="s">
        <v>857</v>
      </c>
      <c r="C130" s="6" t="s">
        <v>314</v>
      </c>
      <c r="D130" s="0" t="n">
        <v>221347</v>
      </c>
      <c r="E130" s="3" t="s">
        <v>1112</v>
      </c>
      <c r="F130" s="3" t="s">
        <v>1032</v>
      </c>
      <c r="I130" s="0" t="n">
        <v>43207</v>
      </c>
      <c r="J130" s="248" t="n">
        <v>39.9196</v>
      </c>
      <c r="K130" s="248" t="n">
        <v>-82.9938</v>
      </c>
      <c r="L130" s="234" t="n">
        <v>45687</v>
      </c>
      <c r="M130" s="232"/>
    </row>
    <row r="131" customFormat="false" ht="12.75" hidden="false" customHeight="false" outlineLevel="0" collapsed="false">
      <c r="A131" s="0" t="s">
        <v>1113</v>
      </c>
      <c r="B131" s="6" t="s">
        <v>861</v>
      </c>
      <c r="C131" s="6" t="s">
        <v>317</v>
      </c>
      <c r="D131" s="0" t="n">
        <v>209673</v>
      </c>
      <c r="E131" s="3" t="s">
        <v>862</v>
      </c>
      <c r="F131" s="3" t="s">
        <v>863</v>
      </c>
      <c r="G131" s="223" t="s">
        <v>1114</v>
      </c>
      <c r="H131" s="6" t="s">
        <v>594</v>
      </c>
      <c r="I131" s="0" t="n">
        <v>43235</v>
      </c>
      <c r="J131" s="0" t="n">
        <v>40.111164</v>
      </c>
      <c r="K131" s="2" t="n">
        <v>-83.0654</v>
      </c>
      <c r="L131" s="234" t="n">
        <v>45372</v>
      </c>
      <c r="M131" s="234" t="n">
        <v>45387</v>
      </c>
    </row>
    <row r="132" customFormat="false" ht="12.75" hidden="false" customHeight="false" outlineLevel="0" collapsed="false">
      <c r="A132" s="0" t="s">
        <v>1115</v>
      </c>
      <c r="B132" s="6" t="s">
        <v>857</v>
      </c>
      <c r="C132" s="6" t="s">
        <v>317</v>
      </c>
      <c r="D132" s="0" t="n">
        <v>221349</v>
      </c>
      <c r="E132" s="3" t="s">
        <v>784</v>
      </c>
      <c r="F132" s="3" t="s">
        <v>1032</v>
      </c>
      <c r="I132" s="0" t="n">
        <v>43204</v>
      </c>
      <c r="J132" s="0" t="n">
        <v>39.9540023291524</v>
      </c>
      <c r="K132" s="2" t="n">
        <v>-83.0612302698839</v>
      </c>
      <c r="L132" s="234" t="n">
        <v>45691</v>
      </c>
      <c r="M132" s="232"/>
    </row>
    <row r="133" customFormat="false" ht="12.75" hidden="false" customHeight="false" outlineLevel="0" collapsed="false">
      <c r="A133" s="0" t="s">
        <v>1116</v>
      </c>
      <c r="B133" s="6" t="s">
        <v>861</v>
      </c>
      <c r="C133" s="6" t="s">
        <v>320</v>
      </c>
      <c r="D133" s="0" t="n">
        <v>209637</v>
      </c>
      <c r="E133" s="3" t="s">
        <v>862</v>
      </c>
      <c r="F133" s="3" t="s">
        <v>863</v>
      </c>
      <c r="G133" s="223" t="s">
        <v>1117</v>
      </c>
      <c r="H133" s="6" t="s">
        <v>594</v>
      </c>
      <c r="I133" s="0" t="n">
        <v>43235</v>
      </c>
      <c r="J133" s="0" t="n">
        <v>40.111164</v>
      </c>
      <c r="K133" s="2" t="n">
        <v>-83.0654</v>
      </c>
      <c r="L133" s="234" t="n">
        <v>45372</v>
      </c>
      <c r="M133" s="234" t="n">
        <v>45387</v>
      </c>
    </row>
    <row r="134" customFormat="false" ht="12.75" hidden="false" customHeight="false" outlineLevel="0" collapsed="false">
      <c r="A134" s="0" t="s">
        <v>1118</v>
      </c>
      <c r="B134" s="6" t="s">
        <v>857</v>
      </c>
      <c r="C134" s="6" t="s">
        <v>320</v>
      </c>
      <c r="D134" s="0" t="n">
        <v>221351</v>
      </c>
      <c r="E134" s="3" t="s">
        <v>790</v>
      </c>
      <c r="F134" s="3" t="s">
        <v>1032</v>
      </c>
      <c r="I134" s="0" t="n">
        <v>43207</v>
      </c>
      <c r="J134" s="0" t="n">
        <v>39.9221</v>
      </c>
      <c r="K134" s="2" t="n">
        <v>-82.9825</v>
      </c>
      <c r="L134" s="234" t="n">
        <v>45691</v>
      </c>
      <c r="M134" s="232"/>
    </row>
    <row r="135" customFormat="false" ht="12.75" hidden="false" customHeight="false" outlineLevel="0" collapsed="false">
      <c r="A135" s="0" t="s">
        <v>1119</v>
      </c>
      <c r="B135" s="6" t="s">
        <v>861</v>
      </c>
      <c r="C135" s="6" t="s">
        <v>323</v>
      </c>
      <c r="D135" s="0" t="n">
        <v>209937</v>
      </c>
      <c r="E135" s="3" t="s">
        <v>862</v>
      </c>
      <c r="F135" s="3" t="s">
        <v>863</v>
      </c>
      <c r="G135" s="223" t="s">
        <v>1120</v>
      </c>
      <c r="H135" s="6" t="s">
        <v>594</v>
      </c>
      <c r="I135" s="0" t="n">
        <v>43235</v>
      </c>
      <c r="J135" s="0" t="n">
        <v>40.111164</v>
      </c>
      <c r="K135" s="2" t="n">
        <v>-83.0654</v>
      </c>
      <c r="L135" s="234" t="n">
        <v>45372</v>
      </c>
      <c r="M135" s="234" t="n">
        <v>45387</v>
      </c>
    </row>
    <row r="136" customFormat="false" ht="23.85" hidden="false" customHeight="false" outlineLevel="0" collapsed="false">
      <c r="A136" s="0" t="s">
        <v>1121</v>
      </c>
      <c r="B136" s="6" t="s">
        <v>857</v>
      </c>
      <c r="C136" s="6" t="s">
        <v>323</v>
      </c>
      <c r="D136" s="0" t="n">
        <v>221353</v>
      </c>
      <c r="E136" s="3" t="s">
        <v>1122</v>
      </c>
      <c r="F136" s="3" t="s">
        <v>1123</v>
      </c>
      <c r="G136" s="223" t="s">
        <v>794</v>
      </c>
      <c r="H136" s="6" t="s">
        <v>794</v>
      </c>
      <c r="I136" s="0" t="n">
        <v>43119</v>
      </c>
      <c r="J136" s="0" t="n">
        <v>39.9055761307431</v>
      </c>
      <c r="K136" s="245" t="n">
        <v>-83.1741622399006</v>
      </c>
      <c r="L136" s="234" t="n">
        <v>45706</v>
      </c>
      <c r="M136" s="232"/>
    </row>
    <row r="137" customFormat="false" ht="12.75" hidden="false" customHeight="false" outlineLevel="0" collapsed="false">
      <c r="A137" s="0" t="s">
        <v>1124</v>
      </c>
      <c r="B137" s="6" t="s">
        <v>861</v>
      </c>
      <c r="C137" s="6" t="s">
        <v>326</v>
      </c>
      <c r="D137" s="0" t="n">
        <v>209671</v>
      </c>
      <c r="E137" s="3" t="s">
        <v>862</v>
      </c>
      <c r="F137" s="3" t="s">
        <v>863</v>
      </c>
      <c r="G137" s="223" t="s">
        <v>1125</v>
      </c>
      <c r="H137" s="6" t="s">
        <v>594</v>
      </c>
      <c r="I137" s="0" t="n">
        <v>43235</v>
      </c>
      <c r="J137" s="0" t="n">
        <v>40.111164</v>
      </c>
      <c r="K137" s="2" t="n">
        <v>-83.0654</v>
      </c>
      <c r="L137" s="234" t="n">
        <v>45387</v>
      </c>
      <c r="M137" s="234" t="n">
        <v>45401</v>
      </c>
    </row>
    <row r="138" customFormat="false" ht="23.85" hidden="false" customHeight="false" outlineLevel="0" collapsed="false">
      <c r="A138" s="0" t="s">
        <v>1126</v>
      </c>
      <c r="B138" s="6" t="s">
        <v>857</v>
      </c>
      <c r="C138" s="6" t="s">
        <v>326</v>
      </c>
      <c r="D138" s="0" t="n">
        <v>233849</v>
      </c>
      <c r="E138" s="3" t="s">
        <v>1127</v>
      </c>
      <c r="F138" s="3" t="s">
        <v>1128</v>
      </c>
      <c r="G138" s="223" t="s">
        <v>1129</v>
      </c>
      <c r="H138" s="6" t="s">
        <v>558</v>
      </c>
      <c r="I138" s="0" t="n">
        <v>43223</v>
      </c>
      <c r="J138" s="0" t="n">
        <v>39.9528778860029</v>
      </c>
      <c r="K138" s="2" t="n">
        <v>-83.0252275892192</v>
      </c>
      <c r="L138" s="234" t="n">
        <v>45716</v>
      </c>
      <c r="M138" s="232"/>
    </row>
    <row r="139" customFormat="false" ht="12.75" hidden="false" customHeight="false" outlineLevel="0" collapsed="false">
      <c r="A139" s="0" t="s">
        <v>1130</v>
      </c>
      <c r="B139" s="6" t="s">
        <v>861</v>
      </c>
      <c r="C139" s="6" t="s">
        <v>329</v>
      </c>
      <c r="D139" s="249" t="n">
        <v>209643</v>
      </c>
      <c r="E139" s="3" t="s">
        <v>862</v>
      </c>
      <c r="F139" s="3" t="s">
        <v>863</v>
      </c>
      <c r="G139" s="223" t="s">
        <v>1131</v>
      </c>
      <c r="H139" s="6" t="s">
        <v>594</v>
      </c>
      <c r="I139" s="0" t="n">
        <v>43235</v>
      </c>
      <c r="J139" s="0" t="n">
        <v>40.111164</v>
      </c>
      <c r="K139" s="2" t="n">
        <v>-83.0654</v>
      </c>
      <c r="L139" s="234" t="n">
        <v>45392</v>
      </c>
      <c r="M139" s="234" t="n">
        <v>45407</v>
      </c>
    </row>
    <row r="140" customFormat="false" ht="12.75" hidden="false" customHeight="false" outlineLevel="0" collapsed="false">
      <c r="A140" s="0" t="s">
        <v>1132</v>
      </c>
      <c r="B140" s="6" t="s">
        <v>857</v>
      </c>
      <c r="C140" s="6" t="s">
        <v>329</v>
      </c>
      <c r="D140" s="249" t="n">
        <v>233851</v>
      </c>
      <c r="E140" s="3" t="s">
        <v>1133</v>
      </c>
      <c r="F140" s="3" t="s">
        <v>1032</v>
      </c>
      <c r="G140" s="223" t="s">
        <v>1134</v>
      </c>
      <c r="H140" s="6" t="s">
        <v>632</v>
      </c>
      <c r="I140" s="0" t="n">
        <v>43206</v>
      </c>
      <c r="J140" s="0" t="n">
        <v>39.9986876</v>
      </c>
      <c r="K140" s="2" t="n">
        <v>-83.1409676</v>
      </c>
      <c r="L140" s="234" t="n">
        <v>45744</v>
      </c>
      <c r="M140" s="232"/>
    </row>
    <row r="141" customFormat="false" ht="12.75" hidden="false" customHeight="false" outlineLevel="0" collapsed="false">
      <c r="A141" s="0" t="s">
        <v>1135</v>
      </c>
      <c r="B141" s="6" t="s">
        <v>861</v>
      </c>
      <c r="C141" s="6" t="s">
        <v>332</v>
      </c>
      <c r="D141" s="0" t="n">
        <v>209665</v>
      </c>
      <c r="E141" s="3" t="s">
        <v>862</v>
      </c>
      <c r="F141" s="3" t="s">
        <v>863</v>
      </c>
      <c r="G141" s="223" t="s">
        <v>1136</v>
      </c>
      <c r="H141" s="6" t="s">
        <v>594</v>
      </c>
      <c r="I141" s="0" t="n">
        <v>43235</v>
      </c>
      <c r="J141" s="0" t="n">
        <v>40.111164</v>
      </c>
      <c r="K141" s="2" t="n">
        <v>-83.0654</v>
      </c>
      <c r="L141" s="234" t="n">
        <v>45387</v>
      </c>
      <c r="M141" s="234" t="n">
        <v>45401</v>
      </c>
    </row>
    <row r="142" customFormat="false" ht="12.75" hidden="false" customHeight="false" outlineLevel="0" collapsed="false">
      <c r="A142" s="0" t="s">
        <v>1137</v>
      </c>
      <c r="B142" s="6" t="s">
        <v>857</v>
      </c>
      <c r="C142" s="6" t="s">
        <v>332</v>
      </c>
      <c r="D142" s="0" t="n">
        <v>233853</v>
      </c>
      <c r="E142" s="3" t="s">
        <v>810</v>
      </c>
      <c r="F142" s="3" t="s">
        <v>1032</v>
      </c>
      <c r="H142" s="6" t="s">
        <v>558</v>
      </c>
      <c r="I142" s="0" t="n">
        <v>43222</v>
      </c>
      <c r="J142" s="0" t="n">
        <v>39.94922</v>
      </c>
      <c r="K142" s="2" t="n">
        <v>-83.0205</v>
      </c>
      <c r="L142" s="234" t="n">
        <v>45765</v>
      </c>
      <c r="M142" s="232"/>
    </row>
    <row r="143" customFormat="false" ht="12.75" hidden="false" customHeight="false" outlineLevel="0" collapsed="false">
      <c r="A143" s="0" t="s">
        <v>1138</v>
      </c>
      <c r="B143" s="6" t="s">
        <v>861</v>
      </c>
      <c r="C143" s="6" t="s">
        <v>335</v>
      </c>
      <c r="D143" s="0" t="n">
        <v>209623</v>
      </c>
      <c r="E143" s="3" t="s">
        <v>862</v>
      </c>
      <c r="F143" s="3" t="s">
        <v>863</v>
      </c>
      <c r="G143" s="5" t="s">
        <v>1139</v>
      </c>
      <c r="H143" s="6" t="s">
        <v>594</v>
      </c>
      <c r="I143" s="0" t="n">
        <v>43235</v>
      </c>
      <c r="J143" s="0" t="n">
        <v>40.111164</v>
      </c>
      <c r="K143" s="2" t="n">
        <v>-83.0654</v>
      </c>
      <c r="L143" s="234" t="n">
        <v>45387</v>
      </c>
      <c r="M143" s="234" t="n">
        <v>45401</v>
      </c>
    </row>
    <row r="144" customFormat="false" ht="12.75" hidden="false" customHeight="false" outlineLevel="0" collapsed="false">
      <c r="A144" s="0" t="s">
        <v>1140</v>
      </c>
      <c r="B144" s="6" t="s">
        <v>857</v>
      </c>
      <c r="C144" s="6" t="s">
        <v>335</v>
      </c>
      <c r="D144" s="0" t="n">
        <v>233855</v>
      </c>
      <c r="E144" s="4" t="s">
        <v>815</v>
      </c>
      <c r="F144" s="3" t="s">
        <v>479</v>
      </c>
      <c r="G144" s="5" t="s">
        <v>1141</v>
      </c>
      <c r="H144" s="6" t="s">
        <v>652</v>
      </c>
      <c r="I144" s="0" t="n">
        <v>43224</v>
      </c>
      <c r="J144" s="0" t="n">
        <v>40.047455</v>
      </c>
      <c r="K144" s="2" t="n">
        <v>-82.993957</v>
      </c>
      <c r="L144" s="234" t="n">
        <v>45824</v>
      </c>
      <c r="M144" s="232"/>
    </row>
    <row r="145" customFormat="false" ht="12.75" hidden="false" customHeight="false" outlineLevel="0" collapsed="false">
      <c r="A145" s="0" t="s">
        <v>1142</v>
      </c>
      <c r="B145" s="6" t="s">
        <v>861</v>
      </c>
      <c r="C145" s="6" t="s">
        <v>338</v>
      </c>
      <c r="D145" s="0" t="n">
        <v>210125</v>
      </c>
      <c r="E145" s="3" t="s">
        <v>862</v>
      </c>
      <c r="F145" s="3" t="s">
        <v>863</v>
      </c>
      <c r="G145" s="5" t="s">
        <v>1143</v>
      </c>
      <c r="H145" s="6" t="s">
        <v>594</v>
      </c>
      <c r="I145" s="0" t="n">
        <v>43235</v>
      </c>
      <c r="J145" s="0" t="n">
        <v>40.111164</v>
      </c>
      <c r="K145" s="2" t="n">
        <v>-83.0654</v>
      </c>
      <c r="L145" s="234" t="n">
        <v>45387</v>
      </c>
      <c r="M145" s="234" t="n">
        <v>45401</v>
      </c>
    </row>
    <row r="146" customFormat="false" ht="12.75" hidden="false" customHeight="false" outlineLevel="0" collapsed="false">
      <c r="A146" s="0" t="s">
        <v>1144</v>
      </c>
      <c r="B146" s="6" t="s">
        <v>857</v>
      </c>
      <c r="C146" s="6" t="s">
        <v>338</v>
      </c>
      <c r="D146" s="0" t="n">
        <v>233857</v>
      </c>
      <c r="E146" s="4" t="s">
        <v>820</v>
      </c>
      <c r="F146" s="3" t="s">
        <v>479</v>
      </c>
      <c r="G146" s="5" t="s">
        <v>497</v>
      </c>
      <c r="H146" s="6" t="s">
        <v>497</v>
      </c>
      <c r="I146" s="0" t="n">
        <v>43211</v>
      </c>
      <c r="J146" s="0" t="n">
        <v>40.021445</v>
      </c>
      <c r="K146" s="2" t="n">
        <v>-82.983576</v>
      </c>
      <c r="L146" s="234" t="n">
        <v>45824</v>
      </c>
      <c r="M146" s="232"/>
    </row>
    <row r="147" customFormat="false" ht="12.75" hidden="false" customHeight="false" outlineLevel="0" collapsed="false">
      <c r="A147" s="0" t="s">
        <v>1145</v>
      </c>
      <c r="B147" s="6" t="s">
        <v>861</v>
      </c>
      <c r="C147" s="6" t="s">
        <v>341</v>
      </c>
      <c r="D147" s="0" t="n">
        <v>209629</v>
      </c>
      <c r="E147" s="3" t="s">
        <v>862</v>
      </c>
      <c r="F147" s="3" t="s">
        <v>863</v>
      </c>
      <c r="G147" s="5" t="s">
        <v>1146</v>
      </c>
      <c r="H147" s="6" t="s">
        <v>594</v>
      </c>
      <c r="I147" s="0" t="n">
        <v>43235</v>
      </c>
      <c r="J147" s="0" t="n">
        <v>40.111164</v>
      </c>
      <c r="K147" s="2" t="n">
        <v>-83.0654</v>
      </c>
      <c r="L147" s="234" t="n">
        <v>45387</v>
      </c>
      <c r="M147" s="234" t="n">
        <v>45401</v>
      </c>
    </row>
    <row r="148" customFormat="false" ht="12.75" hidden="false" customHeight="false" outlineLevel="0" collapsed="false">
      <c r="A148" s="0" t="s">
        <v>1147</v>
      </c>
      <c r="B148" s="6" t="s">
        <v>857</v>
      </c>
      <c r="C148" s="6" t="s">
        <v>341</v>
      </c>
      <c r="D148" s="0" t="n">
        <v>233859</v>
      </c>
      <c r="E148" s="4" t="s">
        <v>823</v>
      </c>
      <c r="F148" s="3" t="s">
        <v>479</v>
      </c>
      <c r="G148" s="5" t="s">
        <v>1148</v>
      </c>
      <c r="H148" s="6" t="s">
        <v>1148</v>
      </c>
      <c r="I148" s="0" t="n">
        <v>43229</v>
      </c>
      <c r="J148" s="0" t="n">
        <v>40.075988</v>
      </c>
      <c r="K148" s="2" t="n">
        <v>-82.990805</v>
      </c>
      <c r="L148" s="234" t="n">
        <v>45824</v>
      </c>
      <c r="M148" s="232"/>
    </row>
    <row r="149" customFormat="false" ht="12.75" hidden="false" customHeight="false" outlineLevel="0" collapsed="false">
      <c r="A149" s="0" t="s">
        <v>1149</v>
      </c>
      <c r="B149" s="6" t="s">
        <v>861</v>
      </c>
      <c r="C149" s="6" t="s">
        <v>344</v>
      </c>
      <c r="D149" s="0" t="n">
        <v>210119</v>
      </c>
      <c r="E149" s="3" t="s">
        <v>862</v>
      </c>
      <c r="F149" s="3" t="s">
        <v>863</v>
      </c>
      <c r="G149" s="5" t="s">
        <v>1150</v>
      </c>
      <c r="H149" s="6" t="s">
        <v>594</v>
      </c>
      <c r="I149" s="0" t="n">
        <v>43235</v>
      </c>
      <c r="J149" s="0" t="n">
        <v>40.111164</v>
      </c>
      <c r="K149" s="2" t="n">
        <v>-83.0654</v>
      </c>
      <c r="L149" s="234" t="n">
        <v>45387</v>
      </c>
      <c r="M149" s="234" t="n">
        <v>45401</v>
      </c>
    </row>
    <row r="150" customFormat="false" ht="12.75" hidden="false" customHeight="false" outlineLevel="0" collapsed="false">
      <c r="A150" s="0" t="s">
        <v>1151</v>
      </c>
      <c r="B150" s="6" t="s">
        <v>857</v>
      </c>
      <c r="C150" s="6" t="s">
        <v>344</v>
      </c>
      <c r="D150" s="0" t="n">
        <v>233861</v>
      </c>
      <c r="E150" s="3" t="s">
        <v>1152</v>
      </c>
      <c r="F150" s="3" t="s">
        <v>479</v>
      </c>
      <c r="G150" s="5"/>
      <c r="H150" s="6" t="s">
        <v>658</v>
      </c>
      <c r="I150" s="0" t="n">
        <v>43081</v>
      </c>
      <c r="J150" s="0" t="n">
        <v>40.1160985181933</v>
      </c>
      <c r="K150" s="2" t="n">
        <v>-82.9313297848764</v>
      </c>
      <c r="L150" s="234" t="n">
        <v>45828</v>
      </c>
      <c r="M150" s="232"/>
    </row>
    <row r="151" customFormat="false" ht="12.75" hidden="false" customHeight="false" outlineLevel="0" collapsed="false">
      <c r="A151" s="0" t="s">
        <v>1153</v>
      </c>
      <c r="B151" s="6" t="s">
        <v>861</v>
      </c>
      <c r="C151" s="6" t="s">
        <v>347</v>
      </c>
      <c r="D151" s="0" t="n">
        <v>209687</v>
      </c>
      <c r="E151" s="3" t="s">
        <v>862</v>
      </c>
      <c r="F151" s="3" t="s">
        <v>863</v>
      </c>
      <c r="G151" s="5" t="s">
        <v>1154</v>
      </c>
      <c r="H151" s="6" t="s">
        <v>594</v>
      </c>
      <c r="I151" s="0" t="n">
        <v>43235</v>
      </c>
      <c r="J151" s="0" t="n">
        <v>40.111164</v>
      </c>
      <c r="K151" s="2" t="n">
        <v>-83.0654</v>
      </c>
      <c r="L151" s="234" t="n">
        <v>45387</v>
      </c>
      <c r="M151" s="234" t="n">
        <v>45401</v>
      </c>
    </row>
    <row r="152" customFormat="false" ht="12.75" hidden="false" customHeight="false" outlineLevel="0" collapsed="false">
      <c r="A152" s="0" t="s">
        <v>1155</v>
      </c>
      <c r="B152" s="6" t="s">
        <v>857</v>
      </c>
      <c r="C152" s="6" t="s">
        <v>347</v>
      </c>
      <c r="D152" s="0" t="n">
        <v>233863</v>
      </c>
      <c r="E152" s="4" t="s">
        <v>829</v>
      </c>
      <c r="F152" s="3" t="s">
        <v>830</v>
      </c>
      <c r="G152" s="5" t="s">
        <v>1156</v>
      </c>
      <c r="H152" s="6" t="s">
        <v>682</v>
      </c>
      <c r="I152" s="0" t="n">
        <v>43230</v>
      </c>
      <c r="J152" s="0" t="n">
        <v>40.0227152</v>
      </c>
      <c r="K152" s="2" t="n">
        <v>-82.8820646</v>
      </c>
      <c r="L152" s="234" t="n">
        <v>45845</v>
      </c>
      <c r="M152" s="232"/>
    </row>
    <row r="153" customFormat="false" ht="12.75" hidden="false" customHeight="false" outlineLevel="0" collapsed="false">
      <c r="A153" s="0" t="s">
        <v>1157</v>
      </c>
      <c r="B153" s="6" t="s">
        <v>861</v>
      </c>
      <c r="C153" s="6" t="s">
        <v>350</v>
      </c>
      <c r="D153" s="0" t="n">
        <v>209915</v>
      </c>
      <c r="E153" s="3" t="s">
        <v>862</v>
      </c>
      <c r="F153" s="3" t="s">
        <v>863</v>
      </c>
      <c r="G153" s="5" t="s">
        <v>1158</v>
      </c>
      <c r="H153" s="6" t="s">
        <v>594</v>
      </c>
      <c r="I153" s="0" t="n">
        <v>43235</v>
      </c>
      <c r="J153" s="0" t="n">
        <v>40.111164</v>
      </c>
      <c r="K153" s="2" t="n">
        <v>-83.0654</v>
      </c>
      <c r="L153" s="234" t="n">
        <v>45387</v>
      </c>
      <c r="M153" s="234" t="n">
        <v>45401</v>
      </c>
    </row>
    <row r="154" customFormat="false" ht="12.75" hidden="false" customHeight="false" outlineLevel="0" collapsed="false">
      <c r="A154" s="0" t="s">
        <v>1159</v>
      </c>
      <c r="B154" s="6" t="s">
        <v>857</v>
      </c>
      <c r="C154" s="6" t="s">
        <v>350</v>
      </c>
      <c r="D154" s="0" t="n">
        <v>233865</v>
      </c>
      <c r="E154" s="3" t="s">
        <v>1160</v>
      </c>
      <c r="F154" s="3" t="s">
        <v>1161</v>
      </c>
      <c r="G154" s="5" t="s">
        <v>1162</v>
      </c>
      <c r="H154" s="6" t="s">
        <v>835</v>
      </c>
      <c r="I154" s="0" t="n">
        <v>43215</v>
      </c>
      <c r="J154" s="0" t="n">
        <v>39.95221</v>
      </c>
      <c r="K154" s="2" t="n">
        <v>-82.999318</v>
      </c>
      <c r="L154" s="234" t="n">
        <v>45876</v>
      </c>
      <c r="M154" s="232"/>
    </row>
    <row r="155" customFormat="false" ht="12.75" hidden="false" customHeight="false" outlineLevel="0" collapsed="false">
      <c r="A155" s="0" t="s">
        <v>1163</v>
      </c>
      <c r="B155" s="6" t="s">
        <v>861</v>
      </c>
      <c r="C155" s="6" t="s">
        <v>353</v>
      </c>
      <c r="D155" s="0" t="n">
        <v>209899</v>
      </c>
      <c r="E155" s="3" t="s">
        <v>862</v>
      </c>
      <c r="F155" s="3" t="s">
        <v>863</v>
      </c>
      <c r="G155" s="5" t="s">
        <v>1164</v>
      </c>
      <c r="H155" s="6" t="s">
        <v>594</v>
      </c>
      <c r="I155" s="0" t="n">
        <v>43235</v>
      </c>
      <c r="J155" s="0" t="n">
        <v>40.111164</v>
      </c>
      <c r="K155" s="2" t="n">
        <v>-83.0654</v>
      </c>
      <c r="L155" s="234" t="n">
        <v>45387</v>
      </c>
      <c r="M155" s="234" t="n">
        <v>45401</v>
      </c>
    </row>
    <row r="156" s="251" customFormat="true" ht="12.75" hidden="false" customHeight="false" outlineLevel="0" collapsed="false">
      <c r="A156" s="250" t="s">
        <v>1165</v>
      </c>
      <c r="C156" s="251" t="s">
        <v>356</v>
      </c>
      <c r="E156" s="252" t="s">
        <v>1166</v>
      </c>
      <c r="F156" s="252" t="s">
        <v>863</v>
      </c>
      <c r="G156" s="253"/>
      <c r="H156" s="251" t="s">
        <v>594</v>
      </c>
      <c r="I156" s="251" t="n">
        <v>43235</v>
      </c>
      <c r="J156" s="251" t="n">
        <v>40.111164</v>
      </c>
      <c r="K156" s="2" t="n">
        <v>-83.0654</v>
      </c>
      <c r="L156" s="240"/>
      <c r="M156" s="240"/>
      <c r="N156" s="251" t="s">
        <v>1167</v>
      </c>
    </row>
    <row r="157" s="251" customFormat="true" ht="12.75" hidden="false" customHeight="false" outlineLevel="0" collapsed="false">
      <c r="A157" s="250" t="s">
        <v>1168</v>
      </c>
      <c r="C157" s="251" t="s">
        <v>358</v>
      </c>
      <c r="E157" s="252" t="s">
        <v>1169</v>
      </c>
      <c r="F157" s="252" t="s">
        <v>863</v>
      </c>
      <c r="G157" s="253"/>
      <c r="H157" s="251" t="s">
        <v>594</v>
      </c>
      <c r="I157" s="251" t="n">
        <v>43235</v>
      </c>
      <c r="J157" s="251" t="n">
        <v>40.111164</v>
      </c>
      <c r="K157" s="2" t="n">
        <v>-83.0654</v>
      </c>
      <c r="L157" s="240"/>
      <c r="M157" s="240"/>
    </row>
    <row r="158" s="251" customFormat="true" ht="12.75" hidden="false" customHeight="false" outlineLevel="0" collapsed="false">
      <c r="A158" s="250" t="s">
        <v>1170</v>
      </c>
      <c r="C158" s="251" t="s">
        <v>361</v>
      </c>
      <c r="E158" s="252" t="s">
        <v>1171</v>
      </c>
      <c r="F158" s="252" t="s">
        <v>863</v>
      </c>
      <c r="G158" s="253"/>
      <c r="H158" s="251" t="s">
        <v>594</v>
      </c>
      <c r="I158" s="251" t="n">
        <v>43235</v>
      </c>
      <c r="J158" s="251" t="n">
        <v>40.111164</v>
      </c>
      <c r="K158" s="2" t="n">
        <v>-83.0654</v>
      </c>
      <c r="L158" s="240"/>
      <c r="M158" s="240"/>
    </row>
    <row r="159" s="251" customFormat="true" ht="12.75" hidden="false" customHeight="false" outlineLevel="0" collapsed="false">
      <c r="A159" s="250" t="s">
        <v>1172</v>
      </c>
      <c r="C159" s="251" t="s">
        <v>364</v>
      </c>
      <c r="E159" s="252" t="s">
        <v>1173</v>
      </c>
      <c r="F159" s="252" t="s">
        <v>863</v>
      </c>
      <c r="G159" s="253"/>
      <c r="H159" s="251" t="s">
        <v>594</v>
      </c>
      <c r="I159" s="251" t="n">
        <v>43235</v>
      </c>
      <c r="J159" s="251" t="n">
        <v>40.111164</v>
      </c>
      <c r="K159" s="2" t="n">
        <v>-83.0654</v>
      </c>
      <c r="L159" s="240"/>
      <c r="M159" s="240"/>
    </row>
    <row r="160" s="251" customFormat="true" ht="12.75" hidden="false" customHeight="false" outlineLevel="0" collapsed="false">
      <c r="A160" s="250" t="s">
        <v>1174</v>
      </c>
      <c r="C160" s="251" t="s">
        <v>367</v>
      </c>
      <c r="E160" s="252" t="s">
        <v>1175</v>
      </c>
      <c r="F160" s="252" t="s">
        <v>863</v>
      </c>
      <c r="G160" s="253"/>
      <c r="H160" s="251" t="s">
        <v>594</v>
      </c>
      <c r="I160" s="251" t="n">
        <v>43235</v>
      </c>
      <c r="J160" s="251" t="n">
        <v>40.111164</v>
      </c>
      <c r="K160" s="2" t="n">
        <v>-83.0654</v>
      </c>
      <c r="L160" s="240"/>
      <c r="M160" s="240"/>
    </row>
    <row r="161" s="251" customFormat="true" ht="12.75" hidden="false" customHeight="false" outlineLevel="0" collapsed="false">
      <c r="A161" s="250" t="s">
        <v>1176</v>
      </c>
      <c r="C161" s="251" t="s">
        <v>370</v>
      </c>
      <c r="E161" s="252" t="s">
        <v>1177</v>
      </c>
      <c r="F161" s="252" t="s">
        <v>863</v>
      </c>
      <c r="G161" s="253"/>
      <c r="H161" s="251" t="s">
        <v>594</v>
      </c>
      <c r="I161" s="251" t="n">
        <v>43235</v>
      </c>
      <c r="J161" s="251" t="n">
        <v>40.111164</v>
      </c>
      <c r="K161" s="2" t="n">
        <v>-83.0654</v>
      </c>
      <c r="L161" s="240"/>
      <c r="M161" s="240"/>
    </row>
    <row r="162" s="251" customFormat="true" ht="12.75" hidden="false" customHeight="false" outlineLevel="0" collapsed="false">
      <c r="A162" s="250" t="s">
        <v>1178</v>
      </c>
      <c r="C162" s="251" t="s">
        <v>373</v>
      </c>
      <c r="E162" s="252" t="s">
        <v>1179</v>
      </c>
      <c r="F162" s="252" t="s">
        <v>863</v>
      </c>
      <c r="G162" s="253"/>
      <c r="H162" s="251" t="s">
        <v>594</v>
      </c>
      <c r="I162" s="251" t="n">
        <v>43235</v>
      </c>
      <c r="J162" s="251" t="n">
        <v>40.111164</v>
      </c>
      <c r="K162" s="2" t="n">
        <v>-83.0654</v>
      </c>
      <c r="L162" s="240"/>
      <c r="M162" s="240"/>
    </row>
    <row r="163" s="251" customFormat="true" ht="12.75" hidden="false" customHeight="false" outlineLevel="0" collapsed="false">
      <c r="A163" s="250" t="s">
        <v>1180</v>
      </c>
      <c r="C163" s="251" t="s">
        <v>376</v>
      </c>
      <c r="E163" s="252" t="s">
        <v>1181</v>
      </c>
      <c r="F163" s="252" t="s">
        <v>863</v>
      </c>
      <c r="G163" s="253"/>
      <c r="H163" s="251" t="s">
        <v>594</v>
      </c>
      <c r="I163" s="251" t="n">
        <v>43235</v>
      </c>
      <c r="J163" s="251" t="n">
        <v>40.111164</v>
      </c>
      <c r="K163" s="2" t="n">
        <v>-83.0654</v>
      </c>
      <c r="L163" s="240"/>
      <c r="M163" s="240"/>
    </row>
    <row r="164" s="251" customFormat="true" ht="12.75" hidden="false" customHeight="false" outlineLevel="0" collapsed="false">
      <c r="A164" s="250" t="s">
        <v>1182</v>
      </c>
      <c r="C164" s="251" t="s">
        <v>379</v>
      </c>
      <c r="E164" s="252" t="s">
        <v>1183</v>
      </c>
      <c r="F164" s="252" t="s">
        <v>863</v>
      </c>
      <c r="G164" s="253"/>
      <c r="H164" s="251" t="s">
        <v>594</v>
      </c>
      <c r="I164" s="251" t="n">
        <v>43235</v>
      </c>
      <c r="J164" s="251" t="n">
        <v>40.111164</v>
      </c>
      <c r="K164" s="2" t="n">
        <v>-83.0654</v>
      </c>
      <c r="L164" s="240"/>
      <c r="M164" s="240"/>
    </row>
    <row r="165" s="251" customFormat="true" ht="12.75" hidden="false" customHeight="false" outlineLevel="0" collapsed="false">
      <c r="A165" s="250" t="s">
        <v>1184</v>
      </c>
      <c r="C165" s="251" t="s">
        <v>382</v>
      </c>
      <c r="E165" s="252" t="s">
        <v>1185</v>
      </c>
      <c r="F165" s="252" t="s">
        <v>863</v>
      </c>
      <c r="G165" s="253"/>
      <c r="H165" s="251" t="s">
        <v>594</v>
      </c>
      <c r="I165" s="251" t="n">
        <v>43235</v>
      </c>
      <c r="J165" s="251" t="n">
        <v>40.111164</v>
      </c>
      <c r="K165" s="2" t="n">
        <v>-83.0654</v>
      </c>
      <c r="L165" s="240"/>
      <c r="M165" s="240"/>
    </row>
    <row r="166" s="251" customFormat="true" ht="12.75" hidden="false" customHeight="false" outlineLevel="0" collapsed="false">
      <c r="A166" s="250" t="s">
        <v>1186</v>
      </c>
      <c r="C166" s="251" t="s">
        <v>385</v>
      </c>
      <c r="E166" s="252" t="s">
        <v>1187</v>
      </c>
      <c r="F166" s="252" t="s">
        <v>863</v>
      </c>
      <c r="G166" s="253"/>
      <c r="H166" s="251" t="s">
        <v>594</v>
      </c>
      <c r="I166" s="251" t="n">
        <v>43235</v>
      </c>
      <c r="J166" s="251" t="n">
        <v>40.111164</v>
      </c>
      <c r="K166" s="2" t="n">
        <v>-83.0654</v>
      </c>
      <c r="L166" s="240"/>
      <c r="M166" s="240"/>
    </row>
    <row r="167" s="251" customFormat="true" ht="12.75" hidden="false" customHeight="false" outlineLevel="0" collapsed="false">
      <c r="A167" s="250" t="s">
        <v>1188</v>
      </c>
      <c r="C167" s="251" t="s">
        <v>388</v>
      </c>
      <c r="E167" s="252" t="s">
        <v>1189</v>
      </c>
      <c r="F167" s="252" t="s">
        <v>863</v>
      </c>
      <c r="G167" s="253"/>
      <c r="H167" s="251" t="s">
        <v>594</v>
      </c>
      <c r="I167" s="251" t="n">
        <v>43235</v>
      </c>
      <c r="J167" s="251" t="n">
        <v>40.111164</v>
      </c>
      <c r="K167" s="2" t="n">
        <v>-83.0654</v>
      </c>
      <c r="L167" s="240"/>
      <c r="M167" s="240"/>
    </row>
    <row r="168" customFormat="false" ht="12.75" hidden="false" customHeight="false" outlineLevel="0" collapsed="false">
      <c r="A168" s="0" t="s">
        <v>1190</v>
      </c>
      <c r="C168" s="6" t="s">
        <v>391</v>
      </c>
      <c r="E168" s="3"/>
      <c r="F168" s="3"/>
      <c r="G168" s="5"/>
      <c r="K168" s="2"/>
      <c r="L168" s="234"/>
      <c r="M168" s="234"/>
    </row>
    <row r="169" customFormat="false" ht="12.75" hidden="false" customHeight="false" outlineLevel="0" collapsed="false">
      <c r="A169" s="0" t="s">
        <v>1191</v>
      </c>
      <c r="C169" s="6" t="s">
        <v>394</v>
      </c>
      <c r="E169" s="3"/>
      <c r="F169" s="3"/>
      <c r="G169" s="5"/>
      <c r="K169" s="2"/>
      <c r="L169" s="234"/>
      <c r="M169" s="234"/>
    </row>
    <row r="170" customFormat="false" ht="12.75" hidden="false" customHeight="false" outlineLevel="0" collapsed="false">
      <c r="A170" s="0" t="s">
        <v>1192</v>
      </c>
      <c r="C170" s="6" t="s">
        <v>396</v>
      </c>
      <c r="E170" s="3"/>
      <c r="F170" s="3"/>
      <c r="G170" s="5"/>
      <c r="K170" s="2"/>
      <c r="L170" s="234"/>
      <c r="M170" s="234"/>
    </row>
    <row r="171" customFormat="false" ht="12.75" hidden="false" customHeight="false" outlineLevel="0" collapsed="false">
      <c r="A171" s="0" t="s">
        <v>1193</v>
      </c>
      <c r="C171" s="6" t="s">
        <v>398</v>
      </c>
      <c r="E171" s="3"/>
      <c r="F171" s="3"/>
      <c r="G171" s="5"/>
      <c r="K171" s="2"/>
      <c r="L171" s="234"/>
      <c r="M171" s="234"/>
    </row>
    <row r="172" customFormat="false" ht="12.75" hidden="false" customHeight="false" outlineLevel="0" collapsed="false">
      <c r="A172" s="0" t="s">
        <v>1194</v>
      </c>
      <c r="C172" s="6" t="s">
        <v>399</v>
      </c>
      <c r="E172" s="3"/>
      <c r="F172" s="3"/>
      <c r="G172" s="5"/>
      <c r="K172" s="2"/>
      <c r="L172" s="234"/>
      <c r="M172" s="234"/>
    </row>
    <row r="173" customFormat="false" ht="12.75" hidden="false" customHeight="false" outlineLevel="0" collapsed="false">
      <c r="A173" s="0" t="s">
        <v>1195</v>
      </c>
      <c r="C173" s="6" t="s">
        <v>400</v>
      </c>
      <c r="E173" s="3"/>
      <c r="F173" s="3"/>
      <c r="G173" s="5"/>
      <c r="K173" s="2"/>
      <c r="L173" s="234"/>
      <c r="M173" s="234"/>
    </row>
    <row r="174" customFormat="false" ht="12.75" hidden="false" customHeight="false" outlineLevel="0" collapsed="false">
      <c r="A174" s="0" t="s">
        <v>1196</v>
      </c>
      <c r="C174" s="6" t="s">
        <v>401</v>
      </c>
      <c r="E174" s="3"/>
      <c r="F174" s="3"/>
      <c r="G174" s="5"/>
      <c r="K174" s="2"/>
      <c r="L174" s="234"/>
      <c r="M174" s="234"/>
    </row>
    <row r="175" customFormat="false" ht="12.75" hidden="false" customHeight="false" outlineLevel="0" collapsed="false">
      <c r="A175" s="0" t="s">
        <v>1197</v>
      </c>
      <c r="C175" s="6" t="s">
        <v>402</v>
      </c>
      <c r="E175" s="3"/>
      <c r="F175" s="3"/>
      <c r="G175" s="5"/>
      <c r="K175" s="2"/>
      <c r="L175" s="234"/>
      <c r="M175" s="234"/>
    </row>
    <row r="176" customFormat="false" ht="12.75" hidden="false" customHeight="false" outlineLevel="0" collapsed="false">
      <c r="A176" s="0" t="s">
        <v>1198</v>
      </c>
      <c r="C176" s="6" t="s">
        <v>403</v>
      </c>
      <c r="E176" s="3"/>
      <c r="F176" s="3"/>
      <c r="G176" s="5"/>
      <c r="K176" s="2"/>
      <c r="L176" s="234"/>
      <c r="M176" s="234"/>
    </row>
    <row r="177" customFormat="false" ht="12.75" hidden="false" customHeight="false" outlineLevel="0" collapsed="false">
      <c r="A177" s="0" t="s">
        <v>1199</v>
      </c>
      <c r="C177" s="6" t="s">
        <v>404</v>
      </c>
      <c r="E177" s="3"/>
      <c r="F177" s="3"/>
      <c r="G177" s="5"/>
      <c r="K177" s="2"/>
      <c r="L177" s="234"/>
      <c r="M177" s="234"/>
    </row>
    <row r="178" customFormat="false" ht="12.75" hidden="false" customHeight="false" outlineLevel="0" collapsed="false">
      <c r="A178" s="0" t="s">
        <v>1200</v>
      </c>
      <c r="C178" s="6" t="s">
        <v>405</v>
      </c>
      <c r="E178" s="3"/>
      <c r="F178" s="3"/>
      <c r="G178" s="5"/>
      <c r="K178" s="2"/>
      <c r="L178" s="234"/>
      <c r="M178" s="234"/>
    </row>
    <row r="179" customFormat="false" ht="12.75" hidden="false" customHeight="false" outlineLevel="0" collapsed="false">
      <c r="A179" s="0" t="s">
        <v>1201</v>
      </c>
      <c r="C179" s="6" t="s">
        <v>406</v>
      </c>
      <c r="E179" s="3"/>
      <c r="F179" s="3"/>
      <c r="G179" s="5"/>
      <c r="K179" s="2"/>
      <c r="L179" s="234"/>
      <c r="M179" s="234"/>
    </row>
    <row r="180" customFormat="false" ht="12.75" hidden="false" customHeight="false" outlineLevel="0" collapsed="false">
      <c r="A180" s="0" t="s">
        <v>1202</v>
      </c>
      <c r="C180" s="6" t="s">
        <v>407</v>
      </c>
      <c r="E180" s="3"/>
      <c r="F180" s="3"/>
      <c r="G180" s="5"/>
      <c r="K180" s="2"/>
      <c r="L180" s="234"/>
      <c r="M180" s="234"/>
    </row>
    <row r="181" customFormat="false" ht="12.75" hidden="false" customHeight="false" outlineLevel="0" collapsed="false">
      <c r="A181" s="0" t="s">
        <v>1203</v>
      </c>
      <c r="C181" s="6" t="s">
        <v>408</v>
      </c>
      <c r="E181" s="3"/>
      <c r="F181" s="3"/>
      <c r="G181" s="5"/>
      <c r="K181" s="2"/>
      <c r="L181" s="234"/>
      <c r="M181" s="234"/>
    </row>
    <row r="182" customFormat="false" ht="12.75" hidden="false" customHeight="false" outlineLevel="0" collapsed="false">
      <c r="A182" s="0" t="s">
        <v>1204</v>
      </c>
      <c r="C182" s="6" t="s">
        <v>409</v>
      </c>
      <c r="E182" s="3"/>
      <c r="F182" s="3"/>
      <c r="G182" s="5"/>
      <c r="K182" s="2"/>
      <c r="L182" s="234"/>
      <c r="M182" s="234"/>
    </row>
    <row r="183" customFormat="false" ht="12.75" hidden="false" customHeight="false" outlineLevel="0" collapsed="false">
      <c r="A183" s="0" t="s">
        <v>1205</v>
      </c>
      <c r="C183" s="6" t="s">
        <v>410</v>
      </c>
      <c r="E183" s="3"/>
      <c r="F183" s="3"/>
      <c r="G183" s="5"/>
      <c r="K183" s="2"/>
      <c r="L183" s="234"/>
      <c r="M183" s="234"/>
    </row>
    <row r="184" customFormat="false" ht="12.75" hidden="false" customHeight="false" outlineLevel="0" collapsed="false">
      <c r="A184" s="0" t="s">
        <v>1206</v>
      </c>
      <c r="B184" s="6" t="s">
        <v>861</v>
      </c>
      <c r="C184" s="6" t="s">
        <v>411</v>
      </c>
      <c r="D184" s="0" t="n">
        <v>99625</v>
      </c>
      <c r="E184" s="3" t="s">
        <v>862</v>
      </c>
      <c r="F184" s="3" t="s">
        <v>863</v>
      </c>
      <c r="G184" s="5" t="s">
        <v>1207</v>
      </c>
      <c r="H184" s="6" t="s">
        <v>594</v>
      </c>
      <c r="I184" s="0" t="n">
        <v>43235</v>
      </c>
      <c r="J184" s="0" t="n">
        <v>40.111164</v>
      </c>
      <c r="K184" s="2" t="n">
        <v>-83.0654</v>
      </c>
      <c r="L184" s="234" t="n">
        <v>45446</v>
      </c>
      <c r="M184" s="234" t="n">
        <v>45460</v>
      </c>
    </row>
    <row r="185" customFormat="false" ht="12.75" hidden="false" customHeight="false" outlineLevel="0" collapsed="false">
      <c r="A185" s="0" t="s">
        <v>1208</v>
      </c>
      <c r="B185" s="6" t="s">
        <v>861</v>
      </c>
      <c r="C185" s="6" t="s">
        <v>415</v>
      </c>
      <c r="D185" s="0" t="n">
        <v>103368</v>
      </c>
      <c r="E185" s="3" t="s">
        <v>862</v>
      </c>
      <c r="F185" s="3" t="s">
        <v>863</v>
      </c>
      <c r="G185" s="223" t="s">
        <v>1209</v>
      </c>
      <c r="H185" s="6" t="s">
        <v>594</v>
      </c>
      <c r="I185" s="0" t="n">
        <v>43235</v>
      </c>
      <c r="J185" s="0" t="n">
        <v>40.111164</v>
      </c>
      <c r="K185" s="2" t="n">
        <v>-83.0654</v>
      </c>
      <c r="L185" s="234" t="n">
        <v>45446</v>
      </c>
      <c r="M185" s="234" t="n">
        <v>45460</v>
      </c>
    </row>
    <row r="186" customFormat="false" ht="12.75" hidden="false" customHeight="false" outlineLevel="0" collapsed="false">
      <c r="A186" s="0" t="s">
        <v>1210</v>
      </c>
      <c r="B186" s="6" t="s">
        <v>861</v>
      </c>
      <c r="C186" s="6" t="s">
        <v>417</v>
      </c>
      <c r="D186" s="0" t="n">
        <v>103094</v>
      </c>
      <c r="E186" s="3" t="s">
        <v>862</v>
      </c>
      <c r="F186" s="3" t="s">
        <v>863</v>
      </c>
      <c r="G186" s="5" t="s">
        <v>1211</v>
      </c>
      <c r="H186" s="6" t="s">
        <v>594</v>
      </c>
      <c r="I186" s="0" t="n">
        <v>43235</v>
      </c>
      <c r="J186" s="0" t="n">
        <v>40.111164</v>
      </c>
      <c r="K186" s="2" t="n">
        <v>-83.0654</v>
      </c>
      <c r="L186" s="234" t="n">
        <v>45446</v>
      </c>
      <c r="M186" s="234" t="n">
        <v>45460</v>
      </c>
    </row>
    <row r="187" customFormat="false" ht="12.75" hidden="false" customHeight="false" outlineLevel="0" collapsed="false">
      <c r="A187" s="0" t="s">
        <v>1212</v>
      </c>
      <c r="B187" s="6" t="s">
        <v>861</v>
      </c>
      <c r="C187" s="6" t="s">
        <v>419</v>
      </c>
      <c r="D187" s="0" t="n">
        <v>103132</v>
      </c>
      <c r="E187" s="3" t="s">
        <v>862</v>
      </c>
      <c r="F187" s="3" t="s">
        <v>863</v>
      </c>
      <c r="G187" s="5" t="s">
        <v>1213</v>
      </c>
      <c r="H187" s="6" t="s">
        <v>594</v>
      </c>
      <c r="I187" s="0" t="n">
        <v>43235</v>
      </c>
      <c r="J187" s="0" t="n">
        <v>40.111164</v>
      </c>
      <c r="K187" s="2" t="n">
        <v>-83.0654</v>
      </c>
      <c r="L187" s="234" t="n">
        <v>45446</v>
      </c>
      <c r="M187" s="234" t="n">
        <v>45460</v>
      </c>
    </row>
    <row r="188" customFormat="false" ht="12.75" hidden="false" customHeight="false" outlineLevel="0" collapsed="false">
      <c r="A188" s="0" t="s">
        <v>1214</v>
      </c>
      <c r="B188" s="6" t="s">
        <v>861</v>
      </c>
      <c r="C188" s="6" t="s">
        <v>421</v>
      </c>
      <c r="D188" s="0" t="n">
        <v>102910</v>
      </c>
      <c r="E188" s="3" t="s">
        <v>862</v>
      </c>
      <c r="F188" s="3" t="s">
        <v>863</v>
      </c>
      <c r="G188" s="5" t="s">
        <v>1215</v>
      </c>
      <c r="H188" s="6" t="s">
        <v>594</v>
      </c>
      <c r="I188" s="0" t="n">
        <v>43235</v>
      </c>
      <c r="J188" s="0" t="n">
        <v>40.111164</v>
      </c>
      <c r="K188" s="2" t="n">
        <v>-83.0654</v>
      </c>
      <c r="L188" s="234" t="n">
        <v>45446</v>
      </c>
      <c r="M188" s="234" t="n">
        <v>45460</v>
      </c>
    </row>
    <row r="189" customFormat="false" ht="12.75" hidden="false" customHeight="false" outlineLevel="0" collapsed="false">
      <c r="A189" s="0" t="s">
        <v>1216</v>
      </c>
      <c r="B189" s="6" t="s">
        <v>861</v>
      </c>
      <c r="C189" s="6" t="s">
        <v>423</v>
      </c>
      <c r="D189" s="0" t="n">
        <v>102904</v>
      </c>
      <c r="E189" s="3" t="s">
        <v>862</v>
      </c>
      <c r="F189" s="3" t="s">
        <v>863</v>
      </c>
      <c r="G189" s="5" t="s">
        <v>1217</v>
      </c>
      <c r="H189" s="6" t="s">
        <v>594</v>
      </c>
      <c r="I189" s="0" t="n">
        <v>43235</v>
      </c>
      <c r="J189" s="0" t="n">
        <v>40.111164</v>
      </c>
      <c r="K189" s="2" t="n">
        <v>-83.0654</v>
      </c>
      <c r="L189" s="234" t="n">
        <v>45446</v>
      </c>
      <c r="M189" s="234" t="n">
        <v>45460</v>
      </c>
    </row>
    <row r="190" customFormat="false" ht="12.75" hidden="false" customHeight="false" outlineLevel="0" collapsed="false">
      <c r="A190" s="0" t="s">
        <v>1218</v>
      </c>
      <c r="B190" s="6" t="s">
        <v>861</v>
      </c>
      <c r="C190" s="6" t="s">
        <v>425</v>
      </c>
      <c r="D190" s="0" t="n">
        <v>102926</v>
      </c>
      <c r="E190" s="3" t="s">
        <v>862</v>
      </c>
      <c r="F190" s="3" t="s">
        <v>863</v>
      </c>
      <c r="G190" s="5" t="s">
        <v>1219</v>
      </c>
      <c r="H190" s="6" t="s">
        <v>594</v>
      </c>
      <c r="I190" s="0" t="n">
        <v>43235</v>
      </c>
      <c r="J190" s="0" t="n">
        <v>40.111164</v>
      </c>
      <c r="K190" s="2" t="n">
        <v>-83.0654</v>
      </c>
      <c r="L190" s="234" t="n">
        <v>45446</v>
      </c>
      <c r="M190" s="234" t="n">
        <v>45460</v>
      </c>
    </row>
    <row r="191" customFormat="false" ht="12.75" hidden="false" customHeight="false" outlineLevel="0" collapsed="false">
      <c r="A191" s="0" t="s">
        <v>1220</v>
      </c>
      <c r="B191" s="6" t="s">
        <v>861</v>
      </c>
      <c r="C191" s="6" t="s">
        <v>427</v>
      </c>
      <c r="D191" s="0" t="n">
        <v>103090</v>
      </c>
      <c r="E191" s="3" t="s">
        <v>862</v>
      </c>
      <c r="F191" s="3" t="s">
        <v>863</v>
      </c>
      <c r="G191" s="5" t="s">
        <v>1221</v>
      </c>
      <c r="H191" s="6" t="s">
        <v>594</v>
      </c>
      <c r="I191" s="0" t="n">
        <v>43235</v>
      </c>
      <c r="J191" s="0" t="n">
        <v>40.111164</v>
      </c>
      <c r="K191" s="2" t="n">
        <v>-83.0654</v>
      </c>
      <c r="L191" s="234" t="n">
        <v>45446</v>
      </c>
      <c r="M191" s="234" t="n">
        <v>45460</v>
      </c>
    </row>
    <row r="192" customFormat="false" ht="12.75" hidden="false" customHeight="false" outlineLevel="0" collapsed="false">
      <c r="A192" s="0" t="s">
        <v>1222</v>
      </c>
      <c r="B192" s="6" t="s">
        <v>861</v>
      </c>
      <c r="C192" s="6" t="s">
        <v>430</v>
      </c>
      <c r="D192" s="0" t="n">
        <v>103096</v>
      </c>
      <c r="E192" s="3" t="s">
        <v>862</v>
      </c>
      <c r="F192" s="3" t="s">
        <v>863</v>
      </c>
      <c r="G192" s="5" t="s">
        <v>1223</v>
      </c>
      <c r="H192" s="6" t="s">
        <v>594</v>
      </c>
      <c r="I192" s="0" t="n">
        <v>43235</v>
      </c>
      <c r="J192" s="0" t="n">
        <v>40.111164</v>
      </c>
      <c r="K192" s="2" t="n">
        <v>-83.0654</v>
      </c>
      <c r="L192" s="234" t="n">
        <v>45446</v>
      </c>
      <c r="M192" s="234" t="n">
        <v>45460</v>
      </c>
    </row>
    <row r="193" customFormat="false" ht="12.75" hidden="false" customHeight="false" outlineLevel="0" collapsed="false">
      <c r="A193" s="0" t="s">
        <v>1224</v>
      </c>
      <c r="B193" s="6" t="s">
        <v>861</v>
      </c>
      <c r="C193" s="6" t="s">
        <v>432</v>
      </c>
      <c r="D193" s="0" t="n">
        <v>221299</v>
      </c>
      <c r="E193" s="3" t="s">
        <v>862</v>
      </c>
      <c r="F193" s="3" t="s">
        <v>863</v>
      </c>
      <c r="G193" s="5" t="s">
        <v>1225</v>
      </c>
      <c r="H193" s="6" t="s">
        <v>594</v>
      </c>
      <c r="I193" s="0" t="n">
        <v>43235</v>
      </c>
      <c r="J193" s="0" t="n">
        <v>40.111164</v>
      </c>
      <c r="K193" s="2" t="n">
        <v>-83.0654</v>
      </c>
      <c r="L193" s="234" t="n">
        <v>45446</v>
      </c>
      <c r="M193" s="234" t="n">
        <v>45460</v>
      </c>
    </row>
    <row r="194" customFormat="false" ht="12.75" hidden="false" customHeight="false" outlineLevel="0" collapsed="false">
      <c r="A194" s="0" t="s">
        <v>1226</v>
      </c>
      <c r="B194" s="6" t="s">
        <v>861</v>
      </c>
      <c r="C194" s="6" t="s">
        <v>434</v>
      </c>
      <c r="D194" s="0" t="n">
        <v>221295</v>
      </c>
      <c r="E194" s="3" t="s">
        <v>862</v>
      </c>
      <c r="F194" s="3" t="s">
        <v>863</v>
      </c>
      <c r="G194" s="223" t="s">
        <v>1227</v>
      </c>
      <c r="H194" s="6" t="s">
        <v>594</v>
      </c>
      <c r="I194" s="0" t="n">
        <v>43235</v>
      </c>
      <c r="J194" s="0" t="n">
        <v>40.111164</v>
      </c>
      <c r="K194" s="2" t="n">
        <v>-83.0654</v>
      </c>
      <c r="L194" s="234" t="n">
        <v>45468</v>
      </c>
      <c r="M194" s="234" t="n">
        <v>45485</v>
      </c>
    </row>
    <row r="195" customFormat="false" ht="12.75" hidden="false" customHeight="false" outlineLevel="0" collapsed="false">
      <c r="A195" s="0" t="s">
        <v>1228</v>
      </c>
      <c r="B195" s="6" t="s">
        <v>861</v>
      </c>
      <c r="C195" s="6" t="s">
        <v>436</v>
      </c>
      <c r="D195" s="0" t="n">
        <v>221301</v>
      </c>
      <c r="E195" s="3" t="s">
        <v>862</v>
      </c>
      <c r="F195" s="3" t="s">
        <v>863</v>
      </c>
      <c r="G195" s="223" t="s">
        <v>1229</v>
      </c>
      <c r="H195" s="6" t="s">
        <v>594</v>
      </c>
      <c r="I195" s="0" t="n">
        <v>43235</v>
      </c>
      <c r="J195" s="0" t="n">
        <v>40.111164</v>
      </c>
      <c r="K195" s="2" t="n">
        <v>-83.0654</v>
      </c>
      <c r="L195" s="234" t="n">
        <v>45468</v>
      </c>
      <c r="M195" s="234" t="n">
        <v>45485</v>
      </c>
    </row>
    <row r="196" customFormat="false" ht="12.75" hidden="false" customHeight="false" outlineLevel="0" collapsed="false">
      <c r="A196" s="0" t="s">
        <v>1230</v>
      </c>
      <c r="B196" s="6" t="s">
        <v>861</v>
      </c>
      <c r="C196" s="6" t="s">
        <v>438</v>
      </c>
      <c r="D196" s="0" t="n">
        <v>221313</v>
      </c>
      <c r="E196" s="3" t="s">
        <v>862</v>
      </c>
      <c r="F196" s="3" t="s">
        <v>863</v>
      </c>
      <c r="G196" s="223" t="s">
        <v>1231</v>
      </c>
      <c r="H196" s="6" t="s">
        <v>594</v>
      </c>
      <c r="I196" s="0" t="n">
        <v>43235</v>
      </c>
      <c r="J196" s="0" t="n">
        <v>40.111164</v>
      </c>
      <c r="K196" s="2" t="n">
        <v>-83.0654</v>
      </c>
      <c r="L196" s="234" t="n">
        <v>45468</v>
      </c>
      <c r="M196" s="234" t="n">
        <v>45485</v>
      </c>
    </row>
    <row r="197" customFormat="false" ht="12.75" hidden="false" customHeight="false" outlineLevel="0" collapsed="false">
      <c r="A197" s="0" t="s">
        <v>1232</v>
      </c>
      <c r="B197" s="6" t="s">
        <v>861</v>
      </c>
      <c r="C197" s="6" t="s">
        <v>440</v>
      </c>
      <c r="D197" s="249" t="n">
        <v>221307</v>
      </c>
      <c r="E197" s="3" t="s">
        <v>862</v>
      </c>
      <c r="F197" s="3" t="s">
        <v>863</v>
      </c>
      <c r="G197" s="254" t="s">
        <v>1233</v>
      </c>
      <c r="H197" s="6" t="s">
        <v>594</v>
      </c>
      <c r="I197" s="0" t="n">
        <v>43235</v>
      </c>
      <c r="J197" s="0" t="n">
        <v>40.111164</v>
      </c>
      <c r="K197" s="2" t="n">
        <v>-83.0654</v>
      </c>
      <c r="L197" s="234" t="n">
        <v>45485</v>
      </c>
      <c r="M197" s="234" t="n">
        <v>45499</v>
      </c>
    </row>
    <row r="198" customFormat="false" ht="12.75" hidden="false" customHeight="false" outlineLevel="0" collapsed="false">
      <c r="A198" s="0" t="s">
        <v>1234</v>
      </c>
      <c r="B198" s="6" t="s">
        <v>861</v>
      </c>
      <c r="C198" s="6" t="s">
        <v>442</v>
      </c>
      <c r="D198" s="0" t="n">
        <v>221293</v>
      </c>
      <c r="E198" s="3" t="s">
        <v>862</v>
      </c>
      <c r="F198" s="3" t="s">
        <v>863</v>
      </c>
      <c r="G198" s="223" t="s">
        <v>1235</v>
      </c>
      <c r="H198" s="6" t="s">
        <v>594</v>
      </c>
      <c r="I198" s="0" t="n">
        <v>43235</v>
      </c>
      <c r="J198" s="0" t="n">
        <v>40.111164</v>
      </c>
      <c r="K198" s="2" t="n">
        <v>-83.0654</v>
      </c>
      <c r="L198" s="234" t="n">
        <v>45468</v>
      </c>
      <c r="M198" s="234" t="n">
        <v>45485</v>
      </c>
    </row>
    <row r="199" customFormat="false" ht="12.75" hidden="false" customHeight="false" outlineLevel="0" collapsed="false">
      <c r="A199" s="0" t="s">
        <v>1236</v>
      </c>
      <c r="B199" s="6" t="s">
        <v>861</v>
      </c>
      <c r="C199" s="6" t="s">
        <v>444</v>
      </c>
      <c r="D199" s="0" t="n">
        <v>221305</v>
      </c>
      <c r="E199" s="3" t="s">
        <v>862</v>
      </c>
      <c r="F199" s="3" t="s">
        <v>863</v>
      </c>
      <c r="G199" s="223" t="s">
        <v>1237</v>
      </c>
      <c r="H199" s="6" t="s">
        <v>594</v>
      </c>
      <c r="I199" s="0" t="n">
        <v>43235</v>
      </c>
      <c r="J199" s="0" t="n">
        <v>40.111164</v>
      </c>
      <c r="K199" s="2" t="n">
        <v>-83.0654</v>
      </c>
      <c r="L199" s="234" t="n">
        <v>45468</v>
      </c>
      <c r="M199" s="234" t="n">
        <v>45485</v>
      </c>
    </row>
    <row r="200" customFormat="false" ht="12.75" hidden="false" customHeight="false" outlineLevel="0" collapsed="false">
      <c r="A200" s="0" t="s">
        <v>1238</v>
      </c>
      <c r="B200" s="6" t="s">
        <v>861</v>
      </c>
      <c r="C200" s="6" t="s">
        <v>446</v>
      </c>
      <c r="D200" s="0" t="n">
        <v>103364</v>
      </c>
      <c r="E200" s="3" t="s">
        <v>862</v>
      </c>
      <c r="F200" s="3" t="s">
        <v>863</v>
      </c>
      <c r="G200" s="223" t="s">
        <v>1239</v>
      </c>
      <c r="H200" s="6" t="s">
        <v>594</v>
      </c>
      <c r="I200" s="0" t="n">
        <v>43235</v>
      </c>
      <c r="J200" s="0" t="n">
        <v>40.111164</v>
      </c>
      <c r="K200" s="2" t="n">
        <v>-83.0654</v>
      </c>
      <c r="L200" s="234" t="n">
        <v>45468</v>
      </c>
      <c r="M200" s="234" t="n">
        <v>45485</v>
      </c>
    </row>
    <row r="201" customFormat="false" ht="12.75" hidden="false" customHeight="false" outlineLevel="0" collapsed="false">
      <c r="A201" s="0" t="s">
        <v>1240</v>
      </c>
      <c r="B201" s="6" t="s">
        <v>861</v>
      </c>
      <c r="C201" s="6" t="s">
        <v>448</v>
      </c>
      <c r="D201" s="0" t="n">
        <v>221297</v>
      </c>
      <c r="E201" s="3" t="s">
        <v>862</v>
      </c>
      <c r="F201" s="3" t="s">
        <v>863</v>
      </c>
      <c r="G201" s="223" t="s">
        <v>1241</v>
      </c>
      <c r="H201" s="6" t="s">
        <v>594</v>
      </c>
      <c r="I201" s="0" t="n">
        <v>43235</v>
      </c>
      <c r="J201" s="0" t="n">
        <v>40.111164</v>
      </c>
      <c r="K201" s="2" t="n">
        <v>-83.0654</v>
      </c>
      <c r="L201" s="234" t="n">
        <v>45468</v>
      </c>
      <c r="M201" s="234" t="n">
        <v>45485</v>
      </c>
    </row>
    <row r="202" customFormat="false" ht="12.75" hidden="false" customHeight="false" outlineLevel="0" collapsed="false">
      <c r="A202" s="0" t="s">
        <v>1242</v>
      </c>
      <c r="B202" s="6" t="s">
        <v>861</v>
      </c>
      <c r="C202" s="6" t="s">
        <v>450</v>
      </c>
      <c r="D202" s="0" t="n">
        <v>221311</v>
      </c>
      <c r="E202" s="3" t="s">
        <v>862</v>
      </c>
      <c r="F202" s="3" t="s">
        <v>863</v>
      </c>
      <c r="G202" s="223" t="s">
        <v>1243</v>
      </c>
      <c r="H202" s="6" t="s">
        <v>594</v>
      </c>
      <c r="I202" s="0" t="n">
        <v>43235</v>
      </c>
      <c r="J202" s="0" t="n">
        <v>40.111164</v>
      </c>
      <c r="K202" s="2" t="n">
        <v>-83.0654</v>
      </c>
      <c r="L202" s="234" t="n">
        <v>45468</v>
      </c>
      <c r="M202" s="234" t="n">
        <v>45485</v>
      </c>
      <c r="N202" s="255"/>
    </row>
    <row r="203" customFormat="false" ht="12.75" hidden="false" customHeight="false" outlineLevel="0" collapsed="false">
      <c r="A203" s="0" t="s">
        <v>1244</v>
      </c>
      <c r="B203" s="6" t="s">
        <v>861</v>
      </c>
      <c r="C203" s="6" t="s">
        <v>452</v>
      </c>
      <c r="D203" s="0" t="n">
        <v>221303</v>
      </c>
      <c r="E203" s="3" t="s">
        <v>862</v>
      </c>
      <c r="F203" s="3" t="s">
        <v>863</v>
      </c>
      <c r="G203" s="223" t="s">
        <v>1245</v>
      </c>
      <c r="H203" s="6" t="s">
        <v>594</v>
      </c>
      <c r="I203" s="0" t="n">
        <v>43235</v>
      </c>
      <c r="J203" s="0" t="n">
        <v>40.111164</v>
      </c>
      <c r="K203" s="2" t="n">
        <v>-83.0654</v>
      </c>
      <c r="L203" s="234" t="n">
        <v>45468</v>
      </c>
      <c r="M203" s="234" t="n">
        <v>45485</v>
      </c>
    </row>
    <row r="204" customFormat="false" ht="12.75" hidden="false" customHeight="false" outlineLevel="0" collapsed="false">
      <c r="A204" s="0" t="s">
        <v>1246</v>
      </c>
      <c r="B204" s="6" t="s">
        <v>861</v>
      </c>
      <c r="C204" s="6" t="s">
        <v>454</v>
      </c>
      <c r="D204" s="0" t="n">
        <v>103370</v>
      </c>
      <c r="E204" s="3" t="s">
        <v>862</v>
      </c>
      <c r="F204" s="3" t="s">
        <v>863</v>
      </c>
      <c r="G204" s="223" t="s">
        <v>1247</v>
      </c>
      <c r="H204" s="6" t="s">
        <v>594</v>
      </c>
      <c r="I204" s="0" t="n">
        <v>43235</v>
      </c>
      <c r="J204" s="0" t="n">
        <v>40.111164</v>
      </c>
      <c r="K204" s="2" t="n">
        <v>-83.0654</v>
      </c>
      <c r="L204" s="234" t="n">
        <v>45485</v>
      </c>
      <c r="M204" s="234" t="n">
        <v>45499</v>
      </c>
    </row>
    <row r="205" customFormat="false" ht="12.75" hidden="false" customHeight="false" outlineLevel="0" collapsed="false">
      <c r="A205" s="0" t="s">
        <v>1248</v>
      </c>
      <c r="B205" s="6" t="s">
        <v>861</v>
      </c>
      <c r="C205" s="6" t="s">
        <v>456</v>
      </c>
      <c r="D205" s="0" t="n">
        <v>221309</v>
      </c>
      <c r="E205" s="3" t="s">
        <v>862</v>
      </c>
      <c r="F205" s="3" t="s">
        <v>863</v>
      </c>
      <c r="G205" s="223" t="s">
        <v>1249</v>
      </c>
      <c r="H205" s="6" t="s">
        <v>594</v>
      </c>
      <c r="I205" s="0" t="n">
        <v>43235</v>
      </c>
      <c r="J205" s="0" t="n">
        <v>40.111164</v>
      </c>
      <c r="K205" s="2" t="n">
        <v>-83.0654</v>
      </c>
      <c r="L205" s="234" t="n">
        <v>45485</v>
      </c>
      <c r="M205" s="234" t="n">
        <v>45499</v>
      </c>
    </row>
    <row r="206" customFormat="false" ht="12.75" hidden="false" customHeight="false" outlineLevel="0" collapsed="false">
      <c r="A206" s="0" t="s">
        <v>1250</v>
      </c>
      <c r="B206" s="6" t="s">
        <v>861</v>
      </c>
      <c r="C206" s="6" t="s">
        <v>458</v>
      </c>
      <c r="E206" s="3" t="s">
        <v>862</v>
      </c>
      <c r="F206" s="3" t="s">
        <v>863</v>
      </c>
      <c r="G206" s="223" t="s">
        <v>1249</v>
      </c>
      <c r="H206" s="6" t="s">
        <v>594</v>
      </c>
      <c r="I206" s="0" t="n">
        <v>43235</v>
      </c>
      <c r="J206" s="0" t="n">
        <v>40.111164</v>
      </c>
      <c r="K206" s="2" t="n">
        <v>-83.0654</v>
      </c>
      <c r="L206" s="234" t="n">
        <v>45485</v>
      </c>
      <c r="M206" s="234" t="n">
        <v>45499</v>
      </c>
      <c r="N206" s="255"/>
    </row>
    <row r="207" customFormat="false" ht="12.75" hidden="false" customHeight="false" outlineLevel="0" collapsed="false">
      <c r="E207" s="3"/>
      <c r="F207" s="3"/>
      <c r="K207" s="2"/>
    </row>
    <row r="208" customFormat="false" ht="12.75" hidden="false" customHeight="false" outlineLevel="0" collapsed="false">
      <c r="E208" s="3"/>
      <c r="F208" s="3"/>
      <c r="K208" s="2"/>
    </row>
    <row r="209" customFormat="false" ht="12.75" hidden="false" customHeight="false" outlineLevel="0" collapsed="false">
      <c r="E209" s="3"/>
      <c r="F209" s="3"/>
      <c r="K209" s="2"/>
    </row>
    <row r="210" customFormat="false" ht="12.75" hidden="false" customHeight="false" outlineLevel="0" collapsed="false">
      <c r="E210" s="3"/>
      <c r="F210" s="3"/>
      <c r="K210" s="2"/>
    </row>
    <row r="211" customFormat="false" ht="12.75" hidden="false" customHeight="false" outlineLevel="0" collapsed="false">
      <c r="E211" s="3"/>
      <c r="F211" s="3"/>
      <c r="K211" s="2"/>
    </row>
    <row r="212" customFormat="false" ht="12.75" hidden="false" customHeight="false" outlineLevel="0" collapsed="false">
      <c r="E212" s="3"/>
      <c r="F212" s="3"/>
      <c r="K212" s="2"/>
    </row>
    <row r="213" customFormat="false" ht="12.75" hidden="false" customHeight="false" outlineLevel="0" collapsed="false">
      <c r="E213" s="3"/>
      <c r="F213" s="3"/>
      <c r="K213" s="2"/>
    </row>
    <row r="214" customFormat="false" ht="12.75" hidden="false" customHeight="false" outlineLevel="0" collapsed="false">
      <c r="E214" s="3"/>
      <c r="F214" s="3"/>
      <c r="K214" s="2"/>
    </row>
    <row r="215" customFormat="false" ht="12.75" hidden="false" customHeight="false" outlineLevel="0" collapsed="false">
      <c r="E215" s="3"/>
      <c r="F215" s="3"/>
      <c r="K215" s="2"/>
    </row>
    <row r="216" customFormat="false" ht="12.75" hidden="false" customHeight="false" outlineLevel="0" collapsed="false">
      <c r="E216" s="3"/>
      <c r="F216" s="3"/>
      <c r="K216" s="2"/>
    </row>
    <row r="217" customFormat="false" ht="12.75" hidden="false" customHeight="false" outlineLevel="0" collapsed="false">
      <c r="E217" s="3"/>
      <c r="F217" s="3"/>
      <c r="K217" s="2"/>
    </row>
    <row r="218" customFormat="false" ht="12.75" hidden="false" customHeight="false" outlineLevel="0" collapsed="false">
      <c r="E218" s="3"/>
      <c r="F218" s="3"/>
      <c r="K218" s="2"/>
    </row>
    <row r="219" customFormat="false" ht="12.75" hidden="false" customHeight="false" outlineLevel="0" collapsed="false">
      <c r="E219" s="3"/>
      <c r="F219" s="3"/>
      <c r="K219" s="2"/>
    </row>
    <row r="220" customFormat="false" ht="12.75" hidden="false" customHeight="false" outlineLevel="0" collapsed="false">
      <c r="E220" s="3"/>
      <c r="F220" s="3"/>
      <c r="K220" s="2"/>
    </row>
  </sheetData>
  <autoFilter ref="A2:M206">
    <sortState ref="A3:M206">
      <sortCondition ref="A3:A206" customList=""/>
    </sortState>
  </autoFilter>
  <conditionalFormatting sqref="H103">
    <cfRule type="duplicateValues" priority="2" aboveAverage="0" equalAverage="0" bottom="0" percent="0" rank="0" text="" dxfId="26"/>
  </conditionalFormatting>
  <conditionalFormatting sqref="H101">
    <cfRule type="duplicateValues" priority="3" aboveAverage="0" equalAverage="0" bottom="0" percent="0" rank="0" text="" dxfId="27"/>
  </conditionalFormatting>
  <conditionalFormatting sqref="H99">
    <cfRule type="duplicateValues" priority="4" aboveAverage="0" equalAverage="0" bottom="0" percent="0" rank="0" text="" dxfId="28"/>
  </conditionalFormatting>
  <conditionalFormatting sqref="H97">
    <cfRule type="duplicateValues" priority="5" aboveAverage="0" equalAverage="0" bottom="0" percent="0" rank="0" text="" dxfId="29"/>
  </conditionalFormatting>
  <conditionalFormatting sqref="H105">
    <cfRule type="duplicateValues" priority="6" aboveAverage="0" equalAverage="0" bottom="0" percent="0" rank="0" text="" dxfId="30"/>
  </conditionalFormatting>
  <conditionalFormatting sqref="H107">
    <cfRule type="duplicateValues" priority="7" aboveAverage="0" equalAverage="0" bottom="0" percent="0" rank="0" text="" dxfId="31"/>
  </conditionalFormatting>
  <conditionalFormatting sqref="H109">
    <cfRule type="duplicateValues" priority="8" aboveAverage="0" equalAverage="0" bottom="0" percent="0" rank="0" text="" dxfId="32"/>
  </conditionalFormatting>
  <conditionalFormatting sqref="H111">
    <cfRule type="duplicateValues" priority="9" aboveAverage="0" equalAverage="0" bottom="0" percent="0" rank="0" text="" dxfId="33"/>
  </conditionalFormatting>
  <conditionalFormatting sqref="D1:D1048576">
    <cfRule type="duplicateValues" priority="10" aboveAverage="0" equalAverage="0" bottom="0" percent="0" rank="0" text="" dxfId="34"/>
  </conditionalFormatting>
  <conditionalFormatting sqref="G1:G1048576">
    <cfRule type="duplicateValues" priority="11" aboveAverage="0" equalAverage="0" bottom="0" percent="0" rank="0" text="" dxfId="35"/>
  </conditionalFormatting>
  <conditionalFormatting sqref="A3:A1048576">
    <cfRule type="duplicateValues" priority="12" aboveAverage="0" equalAverage="0" bottom="0" percent="0" rank="0" text="" dxfId="36"/>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1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H89" activePane="bottomRight" state="frozen"/>
      <selection pane="topLeft" activeCell="A1" activeCellId="0" sqref="A1"/>
      <selection pane="topRight" activeCell="H1" activeCellId="0" sqref="H1"/>
      <selection pane="bottomLeft" activeCell="A89" activeCellId="0" sqref="A89"/>
      <selection pane="bottomRight" activeCell="H89" activeCellId="0" sqref="H89"/>
    </sheetView>
  </sheetViews>
  <sheetFormatPr defaultColWidth="11.1484375" defaultRowHeight="12.75" zeroHeight="false" outlineLevelRow="0" outlineLevelCol="0"/>
  <cols>
    <col collapsed="false" customWidth="true" hidden="false" outlineLevel="0" max="1" min="1" style="13" width="21.71"/>
    <col collapsed="false" customWidth="true" hidden="false" outlineLevel="0" max="2" min="2" style="13" width="23.14"/>
    <col collapsed="false" customWidth="true" hidden="false" outlineLevel="0" max="3" min="3" style="256" width="7.29"/>
    <col collapsed="false" customWidth="true" hidden="false" outlineLevel="0" max="4" min="4" style="257" width="36.57"/>
    <col collapsed="false" customWidth="true" hidden="false" outlineLevel="0" max="5" min="5" style="257" width="12.42"/>
    <col collapsed="false" customWidth="true" hidden="false" outlineLevel="0" max="6" min="6" style="257" width="16.29"/>
    <col collapsed="false" customWidth="true" hidden="false" outlineLevel="0" max="7" min="7" style="257" width="21"/>
    <col collapsed="false" customWidth="true" hidden="false" outlineLevel="0" max="8" min="8" style="13" width="18.57"/>
    <col collapsed="false" customWidth="true" hidden="false" outlineLevel="0" max="9" min="9" style="13" width="35.43"/>
    <col collapsed="false" customWidth="true" hidden="false" outlineLevel="0" max="10" min="10" style="13" width="35.29"/>
    <col collapsed="false" customWidth="true" hidden="false" outlineLevel="0" max="11" min="11" style="13" width="20.85"/>
    <col collapsed="false" customWidth="true" hidden="false" outlineLevel="0" max="12" min="12" style="13" width="26.71"/>
    <col collapsed="false" customWidth="true" hidden="false" outlineLevel="0" max="13" min="13" style="13" width="37.71"/>
    <col collapsed="false" customWidth="true" hidden="false" outlineLevel="0" max="16" min="14" style="13" width="38.29"/>
    <col collapsed="false" customWidth="true" hidden="false" outlineLevel="0" max="17" min="17" style="13" width="11.71"/>
    <col collapsed="false" customWidth="true" hidden="false" outlineLevel="0" max="18" min="18" style="13" width="22.71"/>
    <col collapsed="false" customWidth="true" hidden="false" outlineLevel="0" max="19" min="19" style="13" width="23"/>
    <col collapsed="false" customWidth="true" hidden="false" outlineLevel="0" max="20" min="20" style="13" width="13.29"/>
    <col collapsed="false" customWidth="true" hidden="false" outlineLevel="0" max="21" min="21" style="13" width="21.57"/>
    <col collapsed="false" customWidth="true" hidden="false" outlineLevel="0" max="22" min="22" style="13" width="35.29"/>
    <col collapsed="false" customWidth="true" hidden="false" outlineLevel="0" max="23" min="23" style="13" width="39.14"/>
    <col collapsed="false" customWidth="true" hidden="false" outlineLevel="0" max="24" min="24" style="13" width="32.15"/>
    <col collapsed="false" customWidth="true" hidden="false" outlineLevel="0" max="25" min="25" style="13" width="62"/>
    <col collapsed="false" customWidth="true" hidden="false" outlineLevel="0" max="26" min="26" style="13" width="69.57"/>
    <col collapsed="false" customWidth="true" hidden="false" outlineLevel="0" max="27" min="27" style="50" width="161.57"/>
    <col collapsed="false" customWidth="false" hidden="false" outlineLevel="0" max="30" min="28" style="13" width="11.14"/>
    <col collapsed="false" customWidth="true" hidden="false" outlineLevel="0" max="32" min="31" style="13" width="33.71"/>
    <col collapsed="false" customWidth="true" hidden="false" outlineLevel="0" max="33" min="33" style="13" width="64"/>
    <col collapsed="false" customWidth="false" hidden="false" outlineLevel="0" max="16384" min="34" style="13" width="11.14"/>
  </cols>
  <sheetData>
    <row r="1" s="50" customFormat="true" ht="35.05" hidden="false" customHeight="false" outlineLevel="0" collapsed="false">
      <c r="A1" s="258" t="s">
        <v>844</v>
      </c>
      <c r="B1" s="258" t="s">
        <v>462</v>
      </c>
      <c r="C1" s="259" t="s">
        <v>1251</v>
      </c>
      <c r="D1" s="260" t="s">
        <v>1252</v>
      </c>
      <c r="E1" s="260" t="s">
        <v>1253</v>
      </c>
      <c r="F1" s="261" t="s">
        <v>1254</v>
      </c>
      <c r="G1" s="261" t="s">
        <v>1255</v>
      </c>
      <c r="H1" s="261" t="s">
        <v>1256</v>
      </c>
      <c r="I1" s="261" t="s">
        <v>1257</v>
      </c>
      <c r="J1" s="261" t="s">
        <v>1258</v>
      </c>
      <c r="K1" s="261" t="s">
        <v>1259</v>
      </c>
      <c r="L1" s="261" t="s">
        <v>1260</v>
      </c>
      <c r="M1" s="261" t="s">
        <v>1261</v>
      </c>
      <c r="N1" s="262" t="s">
        <v>1262</v>
      </c>
      <c r="O1" s="262" t="s">
        <v>1263</v>
      </c>
      <c r="P1" s="262" t="s">
        <v>1264</v>
      </c>
      <c r="Q1" s="263" t="s">
        <v>1265</v>
      </c>
      <c r="R1" s="263" t="s">
        <v>1266</v>
      </c>
      <c r="S1" s="263" t="s">
        <v>1267</v>
      </c>
      <c r="T1" s="263" t="s">
        <v>1268</v>
      </c>
      <c r="U1" s="263" t="s">
        <v>1269</v>
      </c>
      <c r="V1" s="264" t="s">
        <v>1270</v>
      </c>
      <c r="W1" s="263" t="s">
        <v>1271</v>
      </c>
      <c r="X1" s="263" t="s">
        <v>1272</v>
      </c>
      <c r="Y1" s="263" t="s">
        <v>1273</v>
      </c>
      <c r="Z1" s="265" t="s">
        <v>1274</v>
      </c>
      <c r="AA1" s="258" t="s">
        <v>1275</v>
      </c>
      <c r="AB1" s="266"/>
      <c r="AC1" s="266"/>
      <c r="AD1" s="266"/>
      <c r="AE1" s="266"/>
      <c r="AF1" s="266"/>
    </row>
    <row r="2" customFormat="false" ht="12.75" hidden="false" customHeight="false" outlineLevel="0" collapsed="false">
      <c r="A2" s="13" t="s">
        <v>856</v>
      </c>
      <c r="B2" s="20" t="s">
        <v>471</v>
      </c>
      <c r="C2" s="256" t="n">
        <v>43203</v>
      </c>
      <c r="D2" s="257" t="n">
        <v>39.9668585</v>
      </c>
      <c r="E2" s="257" t="n">
        <v>-82.9522912</v>
      </c>
      <c r="F2" s="267" t="n">
        <v>4988.40228760112</v>
      </c>
      <c r="G2" s="267" t="n">
        <v>4988.40228760112</v>
      </c>
      <c r="H2" s="257" t="s">
        <v>1276</v>
      </c>
      <c r="I2" s="257" t="s">
        <v>1277</v>
      </c>
      <c r="J2" s="257" t="s">
        <v>1278</v>
      </c>
      <c r="K2" s="267" t="n">
        <v>4930.76292517661</v>
      </c>
      <c r="L2" s="267" t="n">
        <v>520.14660096869</v>
      </c>
      <c r="M2" s="267" t="n">
        <v>516.510918524135</v>
      </c>
      <c r="N2" s="13" t="n">
        <v>45</v>
      </c>
      <c r="O2" s="13" t="n">
        <v>43</v>
      </c>
      <c r="P2" s="13" t="n">
        <v>61</v>
      </c>
      <c r="AE2" s="13" t="s">
        <v>1279</v>
      </c>
      <c r="AF2" s="13" t="s">
        <v>1280</v>
      </c>
      <c r="AG2" s="13" t="s">
        <v>1281</v>
      </c>
    </row>
    <row r="3" customFormat="false" ht="23.85" hidden="false" customHeight="false" outlineLevel="0" collapsed="false">
      <c r="A3" s="13" t="s">
        <v>860</v>
      </c>
      <c r="B3" s="20" t="s">
        <v>862</v>
      </c>
      <c r="C3" s="256" t="n">
        <v>43235</v>
      </c>
      <c r="D3" s="257" t="n">
        <v>40.111164</v>
      </c>
      <c r="E3" s="257" t="n">
        <v>-83.0654</v>
      </c>
      <c r="F3" s="267" t="n">
        <v>19588.6223494682</v>
      </c>
      <c r="G3" s="267" t="n">
        <v>19588.6223494682</v>
      </c>
      <c r="H3" s="257" t="s">
        <v>1282</v>
      </c>
      <c r="I3" s="257" t="s">
        <v>1277</v>
      </c>
      <c r="J3" s="257" t="s">
        <v>1278</v>
      </c>
      <c r="K3" s="267" t="n">
        <v>159.15655364366</v>
      </c>
      <c r="L3" s="267" t="n">
        <v>3257.57883874339</v>
      </c>
      <c r="M3" s="267" t="n">
        <v>2619.34991022664</v>
      </c>
      <c r="N3" s="13" t="n">
        <v>42</v>
      </c>
      <c r="O3" s="13" t="n">
        <v>9</v>
      </c>
      <c r="P3" s="13" t="n">
        <v>26</v>
      </c>
      <c r="AA3" s="50" t="s">
        <v>1283</v>
      </c>
      <c r="AE3" s="13" t="s">
        <v>1284</v>
      </c>
      <c r="AF3" s="13" t="s">
        <v>1285</v>
      </c>
      <c r="AG3" s="13" t="s">
        <v>1286</v>
      </c>
    </row>
    <row r="4" customFormat="false" ht="23.85" hidden="false" customHeight="false" outlineLevel="0" collapsed="false">
      <c r="A4" s="13" t="s">
        <v>865</v>
      </c>
      <c r="B4" s="20" t="s">
        <v>1287</v>
      </c>
      <c r="C4" s="256" t="n">
        <v>43223</v>
      </c>
      <c r="D4" s="257" t="n">
        <v>39.947178</v>
      </c>
      <c r="E4" s="257" t="n">
        <v>-83.05088</v>
      </c>
      <c r="F4" s="267" t="n">
        <v>6365.53604631725</v>
      </c>
      <c r="G4" s="267" t="n">
        <v>6365.53604631725</v>
      </c>
      <c r="H4" s="257" t="s">
        <v>1288</v>
      </c>
      <c r="I4" s="257" t="s">
        <v>1277</v>
      </c>
      <c r="J4" s="257" t="s">
        <v>1289</v>
      </c>
      <c r="K4" s="267" t="n">
        <v>3319.01056429111</v>
      </c>
      <c r="L4" s="267" t="n">
        <v>2269.34384818345</v>
      </c>
      <c r="M4" s="267" t="n">
        <v>424.275631395701</v>
      </c>
      <c r="N4" s="13" t="n">
        <v>51</v>
      </c>
      <c r="O4" s="13" t="n">
        <v>36</v>
      </c>
      <c r="P4" s="13" t="n">
        <v>45</v>
      </c>
      <c r="AA4" s="50" t="s">
        <v>1290</v>
      </c>
      <c r="AE4" s="13" t="s">
        <v>1291</v>
      </c>
      <c r="AF4" s="13" t="s">
        <v>1292</v>
      </c>
      <c r="AG4" s="13" t="s">
        <v>1293</v>
      </c>
    </row>
    <row r="5" customFormat="false" ht="23.85" hidden="false" customHeight="false" outlineLevel="0" collapsed="false">
      <c r="A5" s="13" t="s">
        <v>868</v>
      </c>
      <c r="B5" s="20" t="s">
        <v>862</v>
      </c>
      <c r="C5" s="256" t="n">
        <v>43235</v>
      </c>
      <c r="D5" s="257" t="n">
        <v>40.111164</v>
      </c>
      <c r="E5" s="257" t="n">
        <v>-83.0654</v>
      </c>
      <c r="F5" s="267" t="n">
        <v>19588.6223494682</v>
      </c>
      <c r="G5" s="267" t="n">
        <v>19588.6223494682</v>
      </c>
      <c r="H5" s="257" t="s">
        <v>1282</v>
      </c>
      <c r="I5" s="257" t="s">
        <v>1277</v>
      </c>
      <c r="J5" s="257" t="s">
        <v>1278</v>
      </c>
      <c r="K5" s="267" t="n">
        <v>159.15655364366</v>
      </c>
      <c r="L5" s="267" t="n">
        <v>3257.57883874339</v>
      </c>
      <c r="M5" s="267" t="n">
        <v>2619.34991022664</v>
      </c>
      <c r="N5" s="13" t="n">
        <v>42</v>
      </c>
      <c r="O5" s="13" t="n">
        <v>9</v>
      </c>
      <c r="P5" s="13" t="n">
        <v>26</v>
      </c>
      <c r="AA5" s="50" t="s">
        <v>1283</v>
      </c>
      <c r="AE5" s="13" t="s">
        <v>1294</v>
      </c>
      <c r="AF5" s="13" t="s">
        <v>1295</v>
      </c>
      <c r="AG5" s="13" t="s">
        <v>1296</v>
      </c>
    </row>
    <row r="6" customFormat="false" ht="23.85" hidden="false" customHeight="false" outlineLevel="0" collapsed="false">
      <c r="A6" s="13" t="s">
        <v>870</v>
      </c>
      <c r="B6" s="20" t="s">
        <v>1297</v>
      </c>
      <c r="C6" s="256" t="n">
        <v>43219</v>
      </c>
      <c r="D6" s="257" t="n">
        <v>39.986</v>
      </c>
      <c r="E6" s="257" t="n">
        <v>-82.941</v>
      </c>
      <c r="F6" s="267" t="n">
        <v>7657.1369858526</v>
      </c>
      <c r="G6" s="267" t="n">
        <v>7657.1369858526</v>
      </c>
      <c r="H6" s="257" t="s">
        <v>1282</v>
      </c>
      <c r="I6" s="257" t="s">
        <v>1298</v>
      </c>
      <c r="J6" s="257" t="s">
        <v>1289</v>
      </c>
      <c r="K6" s="267" t="n">
        <v>509.820967636127</v>
      </c>
      <c r="L6" s="267" t="n">
        <v>3849.39</v>
      </c>
      <c r="M6" s="267" t="n">
        <v>203.436165471201</v>
      </c>
      <c r="N6" s="13" t="n">
        <v>56</v>
      </c>
      <c r="O6" s="13" t="n">
        <v>35</v>
      </c>
      <c r="P6" s="13" t="n">
        <v>63</v>
      </c>
      <c r="AA6" s="50" t="s">
        <v>1299</v>
      </c>
      <c r="AE6" s="13" t="s">
        <v>1300</v>
      </c>
      <c r="AF6" s="13" t="s">
        <v>1301</v>
      </c>
      <c r="AG6" s="268" t="s">
        <v>1302</v>
      </c>
    </row>
    <row r="7" customFormat="false" ht="23.85" hidden="false" customHeight="false" outlineLevel="0" collapsed="false">
      <c r="A7" s="13" t="s">
        <v>873</v>
      </c>
      <c r="B7" s="20" t="s">
        <v>862</v>
      </c>
      <c r="C7" s="256" t="n">
        <v>43235</v>
      </c>
      <c r="D7" s="257" t="n">
        <v>40.111164</v>
      </c>
      <c r="E7" s="257" t="n">
        <v>-83.0654</v>
      </c>
      <c r="F7" s="267" t="n">
        <v>19588.6223494682</v>
      </c>
      <c r="G7" s="267" t="n">
        <v>19588.6223494682</v>
      </c>
      <c r="H7" s="257" t="s">
        <v>1282</v>
      </c>
      <c r="I7" s="257" t="s">
        <v>1277</v>
      </c>
      <c r="J7" s="257" t="s">
        <v>1278</v>
      </c>
      <c r="K7" s="267" t="n">
        <v>159.15655364366</v>
      </c>
      <c r="L7" s="267" t="n">
        <v>3257.57883874339</v>
      </c>
      <c r="M7" s="267" t="n">
        <v>2619.34991022664</v>
      </c>
      <c r="N7" s="13" t="n">
        <v>42</v>
      </c>
      <c r="O7" s="13" t="n">
        <v>9</v>
      </c>
      <c r="P7" s="13" t="n">
        <v>26</v>
      </c>
      <c r="AA7" s="50" t="s">
        <v>1283</v>
      </c>
      <c r="AE7" s="13" t="s">
        <v>1303</v>
      </c>
      <c r="AF7" s="13" t="s">
        <v>1304</v>
      </c>
      <c r="AG7" s="13" t="s">
        <v>1305</v>
      </c>
    </row>
    <row r="8" customFormat="false" ht="23.85" hidden="false" customHeight="false" outlineLevel="0" collapsed="false">
      <c r="A8" s="13" t="s">
        <v>875</v>
      </c>
      <c r="B8" s="20" t="s">
        <v>862</v>
      </c>
      <c r="C8" s="256" t="n">
        <v>43235</v>
      </c>
      <c r="D8" s="257" t="n">
        <v>40.111164</v>
      </c>
      <c r="E8" s="257" t="n">
        <v>-83.0654</v>
      </c>
      <c r="F8" s="267" t="n">
        <v>19588.6223494682</v>
      </c>
      <c r="G8" s="267" t="n">
        <v>19588.6223494682</v>
      </c>
      <c r="H8" s="257" t="s">
        <v>1282</v>
      </c>
      <c r="I8" s="257" t="s">
        <v>1277</v>
      </c>
      <c r="J8" s="257" t="s">
        <v>1278</v>
      </c>
      <c r="K8" s="267" t="n">
        <v>159.15655364366</v>
      </c>
      <c r="L8" s="267" t="n">
        <v>3257.57883874339</v>
      </c>
      <c r="M8" s="267" t="n">
        <v>2619.34991022664</v>
      </c>
      <c r="N8" s="13" t="n">
        <v>42</v>
      </c>
      <c r="O8" s="13" t="n">
        <v>9</v>
      </c>
      <c r="P8" s="13" t="n">
        <v>26</v>
      </c>
      <c r="AA8" s="50" t="s">
        <v>1283</v>
      </c>
      <c r="AE8" s="13" t="s">
        <v>1306</v>
      </c>
      <c r="AF8" s="13" t="s">
        <v>1307</v>
      </c>
      <c r="AG8" s="13" t="s">
        <v>1308</v>
      </c>
    </row>
    <row r="9" customFormat="false" ht="23.85" hidden="false" customHeight="false" outlineLevel="0" collapsed="false">
      <c r="A9" s="13" t="s">
        <v>877</v>
      </c>
      <c r="B9" s="20" t="s">
        <v>862</v>
      </c>
      <c r="C9" s="256" t="n">
        <v>43235</v>
      </c>
      <c r="D9" s="257" t="n">
        <v>40.111164</v>
      </c>
      <c r="E9" s="257" t="n">
        <v>-83.0654</v>
      </c>
      <c r="F9" s="267" t="n">
        <v>19588.6223494682</v>
      </c>
      <c r="G9" s="267" t="n">
        <v>19588.6223494682</v>
      </c>
      <c r="H9" s="257" t="s">
        <v>1282</v>
      </c>
      <c r="I9" s="257" t="s">
        <v>1277</v>
      </c>
      <c r="J9" s="257" t="s">
        <v>1278</v>
      </c>
      <c r="K9" s="267" t="n">
        <v>159.15655364366</v>
      </c>
      <c r="L9" s="267" t="n">
        <v>3257.57883874339</v>
      </c>
      <c r="M9" s="267" t="n">
        <v>2619.34991022664</v>
      </c>
      <c r="N9" s="13" t="n">
        <v>42</v>
      </c>
      <c r="O9" s="13" t="n">
        <v>9</v>
      </c>
      <c r="P9" s="13" t="n">
        <v>26</v>
      </c>
      <c r="AA9" s="50" t="s">
        <v>1283</v>
      </c>
      <c r="AE9" s="13" t="s">
        <v>1309</v>
      </c>
      <c r="AF9" s="13" t="s">
        <v>1310</v>
      </c>
      <c r="AG9" s="13" t="s">
        <v>1311</v>
      </c>
    </row>
    <row r="10" customFormat="false" ht="23.85" hidden="false" customHeight="false" outlineLevel="0" collapsed="false">
      <c r="A10" s="13" t="s">
        <v>879</v>
      </c>
      <c r="B10" s="20" t="s">
        <v>492</v>
      </c>
      <c r="C10" s="256" t="n">
        <v>43212</v>
      </c>
      <c r="D10" s="257" t="n">
        <v>39.991993</v>
      </c>
      <c r="E10" s="257" t="n">
        <v>-83.03988</v>
      </c>
      <c r="F10" s="267" t="n">
        <v>5214.43078408102</v>
      </c>
      <c r="G10" s="267" t="n">
        <v>11250.32</v>
      </c>
      <c r="H10" s="257" t="s">
        <v>1312</v>
      </c>
      <c r="I10" s="257" t="s">
        <v>1277</v>
      </c>
      <c r="J10" s="257" t="s">
        <v>1278</v>
      </c>
      <c r="K10" s="267" t="n">
        <v>4073.69488291399</v>
      </c>
      <c r="L10" s="267" t="n">
        <v>1919.31</v>
      </c>
      <c r="M10" s="267" t="n">
        <v>1770.13804072291</v>
      </c>
      <c r="N10" s="13" t="n">
        <v>86</v>
      </c>
      <c r="O10" s="13" t="n">
        <v>38</v>
      </c>
      <c r="P10" s="13" t="n">
        <v>77</v>
      </c>
      <c r="AA10" s="50" t="s">
        <v>1313</v>
      </c>
      <c r="AE10" s="13" t="s">
        <v>1314</v>
      </c>
      <c r="AF10" s="13" t="s">
        <v>1315</v>
      </c>
      <c r="AG10" s="13" t="s">
        <v>1316</v>
      </c>
    </row>
    <row r="11" customFormat="false" ht="23.85" hidden="false" customHeight="false" outlineLevel="0" collapsed="false">
      <c r="A11" s="13" t="s">
        <v>882</v>
      </c>
      <c r="B11" s="20" t="s">
        <v>862</v>
      </c>
      <c r="C11" s="256" t="n">
        <v>43235</v>
      </c>
      <c r="D11" s="257" t="n">
        <v>40.111164</v>
      </c>
      <c r="E11" s="257" t="n">
        <v>-83.0654</v>
      </c>
      <c r="F11" s="267" t="n">
        <v>19588.6223494682</v>
      </c>
      <c r="G11" s="267" t="n">
        <v>19588.6223494682</v>
      </c>
      <c r="H11" s="257" t="s">
        <v>1282</v>
      </c>
      <c r="I11" s="257" t="s">
        <v>1277</v>
      </c>
      <c r="J11" s="257" t="s">
        <v>1278</v>
      </c>
      <c r="K11" s="267" t="n">
        <v>159.15655364366</v>
      </c>
      <c r="L11" s="267" t="n">
        <v>3257.57883874339</v>
      </c>
      <c r="M11" s="267" t="n">
        <v>2619.34991022664</v>
      </c>
      <c r="N11" s="13" t="n">
        <v>42</v>
      </c>
      <c r="O11" s="13" t="n">
        <v>9</v>
      </c>
      <c r="P11" s="13" t="n">
        <v>26</v>
      </c>
      <c r="AA11" s="50" t="s">
        <v>1283</v>
      </c>
      <c r="AE11" s="13" t="s">
        <v>1310</v>
      </c>
      <c r="AG11" s="50" t="s">
        <v>1317</v>
      </c>
    </row>
    <row r="12" customFormat="false" ht="23.85" hidden="false" customHeight="false" outlineLevel="0" collapsed="false">
      <c r="A12" s="13" t="s">
        <v>884</v>
      </c>
      <c r="B12" s="20" t="s">
        <v>1318</v>
      </c>
      <c r="C12" s="256" t="n">
        <v>43211</v>
      </c>
      <c r="D12" s="257" t="n">
        <v>40.021294</v>
      </c>
      <c r="E12" s="257" t="n">
        <v>-82.990456</v>
      </c>
      <c r="F12" s="267" t="n">
        <v>4929.53688075695</v>
      </c>
      <c r="G12" s="267" t="n">
        <v>4929.53688075695</v>
      </c>
      <c r="H12" s="257" t="s">
        <v>1288</v>
      </c>
      <c r="I12" s="257" t="s">
        <v>1277</v>
      </c>
      <c r="J12" s="257" t="s">
        <v>1289</v>
      </c>
      <c r="K12" s="267" t="n">
        <v>1278.7343437876</v>
      </c>
      <c r="L12" s="267" t="n">
        <v>1775.7051183319</v>
      </c>
      <c r="M12" s="267" t="n">
        <v>82.5741702173502</v>
      </c>
      <c r="N12" s="13" t="n">
        <v>46</v>
      </c>
      <c r="O12" s="13" t="n">
        <v>36</v>
      </c>
      <c r="P12" s="13" t="n">
        <v>52</v>
      </c>
      <c r="AA12" s="50" t="s">
        <v>1319</v>
      </c>
      <c r="AE12" s="13" t="s">
        <v>1315</v>
      </c>
      <c r="AG12" s="13" t="s">
        <v>1310</v>
      </c>
    </row>
    <row r="13" customFormat="false" ht="23.85" hidden="false" customHeight="false" outlineLevel="0" collapsed="false">
      <c r="A13" s="13" t="s">
        <v>886</v>
      </c>
      <c r="B13" s="20" t="s">
        <v>862</v>
      </c>
      <c r="C13" s="256" t="n">
        <v>43235</v>
      </c>
      <c r="D13" s="257" t="n">
        <v>40.111164</v>
      </c>
      <c r="E13" s="257" t="n">
        <v>-83.0654</v>
      </c>
      <c r="F13" s="267" t="n">
        <v>19588.6223494682</v>
      </c>
      <c r="G13" s="267" t="n">
        <v>19588.6223494682</v>
      </c>
      <c r="H13" s="257" t="s">
        <v>1282</v>
      </c>
      <c r="I13" s="257" t="s">
        <v>1277</v>
      </c>
      <c r="J13" s="257" t="s">
        <v>1278</v>
      </c>
      <c r="K13" s="267" t="n">
        <v>159.15655364366</v>
      </c>
      <c r="L13" s="267" t="n">
        <v>3257.57883874339</v>
      </c>
      <c r="M13" s="267" t="n">
        <v>2619.34991022664</v>
      </c>
      <c r="N13" s="13" t="n">
        <v>42</v>
      </c>
      <c r="O13" s="13" t="n">
        <v>9</v>
      </c>
      <c r="P13" s="13" t="n">
        <v>26</v>
      </c>
      <c r="AA13" s="50" t="s">
        <v>1283</v>
      </c>
    </row>
    <row r="14" customFormat="false" ht="23.85" hidden="false" customHeight="false" outlineLevel="0" collapsed="false">
      <c r="A14" s="13" t="s">
        <v>888</v>
      </c>
      <c r="B14" s="20" t="s">
        <v>862</v>
      </c>
      <c r="C14" s="256" t="n">
        <v>43235</v>
      </c>
      <c r="D14" s="257" t="n">
        <v>40.111164</v>
      </c>
      <c r="E14" s="257" t="n">
        <v>-83.0654</v>
      </c>
      <c r="F14" s="267" t="n">
        <v>19588.6223494682</v>
      </c>
      <c r="G14" s="267" t="n">
        <v>19588.6223494682</v>
      </c>
      <c r="H14" s="257" t="s">
        <v>1282</v>
      </c>
      <c r="I14" s="257" t="s">
        <v>1277</v>
      </c>
      <c r="J14" s="257" t="s">
        <v>1278</v>
      </c>
      <c r="K14" s="267" t="n">
        <v>159.15655364366</v>
      </c>
      <c r="L14" s="267" t="n">
        <v>3257.57883874339</v>
      </c>
      <c r="M14" s="267" t="n">
        <v>2619.34991022664</v>
      </c>
      <c r="N14" s="13" t="n">
        <v>42</v>
      </c>
      <c r="O14" s="13" t="n">
        <v>9</v>
      </c>
      <c r="P14" s="13" t="n">
        <v>26</v>
      </c>
      <c r="AA14" s="50" t="s">
        <v>1283</v>
      </c>
    </row>
    <row r="15" customFormat="false" ht="23.85" hidden="false" customHeight="false" outlineLevel="0" collapsed="false">
      <c r="A15" s="13" t="s">
        <v>890</v>
      </c>
      <c r="B15" s="20" t="s">
        <v>862</v>
      </c>
      <c r="C15" s="256" t="n">
        <v>43235</v>
      </c>
      <c r="D15" s="257" t="n">
        <v>40.111164</v>
      </c>
      <c r="E15" s="257" t="n">
        <v>-83.0654</v>
      </c>
      <c r="F15" s="267" t="n">
        <v>19588.6223494682</v>
      </c>
      <c r="G15" s="267" t="n">
        <v>19588.6223494682</v>
      </c>
      <c r="H15" s="257" t="s">
        <v>1282</v>
      </c>
      <c r="I15" s="257" t="s">
        <v>1277</v>
      </c>
      <c r="J15" s="257" t="s">
        <v>1278</v>
      </c>
      <c r="K15" s="267" t="n">
        <v>159.15655364366</v>
      </c>
      <c r="L15" s="267" t="n">
        <v>3257.57883874339</v>
      </c>
      <c r="M15" s="267" t="n">
        <v>2619.34991022664</v>
      </c>
      <c r="N15" s="13" t="n">
        <v>42</v>
      </c>
      <c r="O15" s="13" t="n">
        <v>9</v>
      </c>
      <c r="P15" s="13" t="n">
        <v>26</v>
      </c>
      <c r="AA15" s="50" t="s">
        <v>1283</v>
      </c>
    </row>
    <row r="16" customFormat="false" ht="23.85" hidden="false" customHeight="false" outlineLevel="0" collapsed="false">
      <c r="A16" s="13" t="s">
        <v>892</v>
      </c>
      <c r="B16" s="20" t="s">
        <v>1320</v>
      </c>
      <c r="C16" s="256" t="n">
        <v>43207</v>
      </c>
      <c r="D16" s="257" t="n">
        <v>39.93312</v>
      </c>
      <c r="E16" s="257" t="n">
        <v>-82.96629</v>
      </c>
      <c r="F16" s="267" t="n">
        <v>8912.18367444879</v>
      </c>
      <c r="G16" s="267" t="n">
        <v>8912.18367444879</v>
      </c>
      <c r="H16" s="257" t="s">
        <v>1288</v>
      </c>
      <c r="I16" s="257" t="s">
        <v>1298</v>
      </c>
      <c r="J16" s="257" t="s">
        <v>1289</v>
      </c>
      <c r="K16" s="267" t="n">
        <v>6243.80210304874</v>
      </c>
      <c r="L16" s="267" t="n">
        <v>1080.13212871365</v>
      </c>
      <c r="M16" s="267" t="n">
        <v>2169.65890105123</v>
      </c>
      <c r="N16" s="13" t="n">
        <v>64</v>
      </c>
      <c r="O16" s="13" t="n">
        <v>39</v>
      </c>
      <c r="P16" s="13" t="n">
        <v>58</v>
      </c>
      <c r="AA16" s="50" t="s">
        <v>1321</v>
      </c>
    </row>
    <row r="17" customFormat="false" ht="23.85" hidden="false" customHeight="false" outlineLevel="0" collapsed="false">
      <c r="A17" s="13" t="s">
        <v>894</v>
      </c>
      <c r="B17" s="20" t="s">
        <v>862</v>
      </c>
      <c r="C17" s="256" t="n">
        <v>43235</v>
      </c>
      <c r="D17" s="257" t="n">
        <v>40.111164</v>
      </c>
      <c r="E17" s="257" t="n">
        <v>-83.0654</v>
      </c>
      <c r="F17" s="267" t="n">
        <v>19588.6223494682</v>
      </c>
      <c r="G17" s="267" t="n">
        <v>19588.6223494682</v>
      </c>
      <c r="H17" s="257" t="s">
        <v>1282</v>
      </c>
      <c r="I17" s="257" t="s">
        <v>1277</v>
      </c>
      <c r="J17" s="257" t="s">
        <v>1278</v>
      </c>
      <c r="K17" s="267" t="n">
        <v>159.15655364366</v>
      </c>
      <c r="L17" s="267" t="n">
        <v>3257.57883874339</v>
      </c>
      <c r="M17" s="267" t="n">
        <v>2619.34991022664</v>
      </c>
      <c r="N17" s="13" t="n">
        <v>42</v>
      </c>
      <c r="O17" s="13" t="n">
        <v>9</v>
      </c>
      <c r="P17" s="13" t="n">
        <v>26</v>
      </c>
      <c r="AA17" s="50" t="s">
        <v>1283</v>
      </c>
    </row>
    <row r="18" customFormat="false" ht="23.85" hidden="false" customHeight="false" outlineLevel="0" collapsed="false">
      <c r="A18" s="13" t="s">
        <v>896</v>
      </c>
      <c r="B18" s="20" t="s">
        <v>862</v>
      </c>
      <c r="C18" s="256" t="n">
        <v>43235</v>
      </c>
      <c r="D18" s="257" t="n">
        <v>40.111164</v>
      </c>
      <c r="E18" s="257" t="n">
        <v>-83.0654</v>
      </c>
      <c r="F18" s="267" t="n">
        <v>19588.6223494682</v>
      </c>
      <c r="G18" s="267" t="n">
        <v>19588.6223494682</v>
      </c>
      <c r="H18" s="257" t="s">
        <v>1282</v>
      </c>
      <c r="I18" s="257" t="s">
        <v>1277</v>
      </c>
      <c r="J18" s="257" t="s">
        <v>1278</v>
      </c>
      <c r="K18" s="267" t="n">
        <v>159.15655364366</v>
      </c>
      <c r="L18" s="267" t="n">
        <v>3257.57883874339</v>
      </c>
      <c r="M18" s="267" t="n">
        <v>2619.34991022664</v>
      </c>
      <c r="N18" s="13" t="n">
        <v>42</v>
      </c>
      <c r="O18" s="13" t="n">
        <v>9</v>
      </c>
      <c r="P18" s="13" t="n">
        <v>26</v>
      </c>
      <c r="AA18" s="50" t="s">
        <v>1283</v>
      </c>
    </row>
    <row r="19" customFormat="false" ht="23.85" hidden="false" customHeight="false" outlineLevel="0" collapsed="false">
      <c r="A19" s="13" t="s">
        <v>898</v>
      </c>
      <c r="B19" s="20" t="s">
        <v>862</v>
      </c>
      <c r="C19" s="256" t="n">
        <v>43235</v>
      </c>
      <c r="D19" s="257" t="n">
        <v>40.111164</v>
      </c>
      <c r="E19" s="257" t="n">
        <v>-83.0654</v>
      </c>
      <c r="F19" s="267" t="n">
        <v>19588.6223494682</v>
      </c>
      <c r="G19" s="267" t="n">
        <v>19588.6223494682</v>
      </c>
      <c r="H19" s="257" t="s">
        <v>1282</v>
      </c>
      <c r="I19" s="257" t="s">
        <v>1277</v>
      </c>
      <c r="J19" s="257" t="s">
        <v>1278</v>
      </c>
      <c r="K19" s="267" t="n">
        <v>159.15655364366</v>
      </c>
      <c r="L19" s="267" t="n">
        <v>3257.57883874339</v>
      </c>
      <c r="M19" s="267" t="n">
        <v>2619.34991022664</v>
      </c>
      <c r="N19" s="13" t="n">
        <v>42</v>
      </c>
      <c r="O19" s="13" t="n">
        <v>9</v>
      </c>
      <c r="P19" s="13" t="n">
        <v>26</v>
      </c>
      <c r="AA19" s="50" t="s">
        <v>1283</v>
      </c>
    </row>
    <row r="20" customFormat="false" ht="23.85" hidden="false" customHeight="false" outlineLevel="0" collapsed="false">
      <c r="A20" s="13" t="s">
        <v>900</v>
      </c>
      <c r="B20" s="20" t="s">
        <v>862</v>
      </c>
      <c r="C20" s="256" t="n">
        <v>43235</v>
      </c>
      <c r="D20" s="257" t="n">
        <v>40.111164</v>
      </c>
      <c r="E20" s="257" t="n">
        <v>-83.0654</v>
      </c>
      <c r="F20" s="267" t="n">
        <v>19588.6223494682</v>
      </c>
      <c r="G20" s="267" t="n">
        <v>19588.6223494682</v>
      </c>
      <c r="H20" s="257" t="s">
        <v>1282</v>
      </c>
      <c r="I20" s="257" t="s">
        <v>1277</v>
      </c>
      <c r="J20" s="257" t="s">
        <v>1278</v>
      </c>
      <c r="K20" s="267" t="n">
        <v>159.15655364366</v>
      </c>
      <c r="L20" s="267" t="n">
        <v>3257.57883874339</v>
      </c>
      <c r="M20" s="267" t="n">
        <v>2619.34991022664</v>
      </c>
      <c r="N20" s="13" t="n">
        <v>42</v>
      </c>
      <c r="O20" s="13" t="n">
        <v>9</v>
      </c>
      <c r="P20" s="13" t="n">
        <v>26</v>
      </c>
      <c r="AA20" s="50" t="s">
        <v>1283</v>
      </c>
    </row>
    <row r="21" customFormat="false" ht="12.75" hidden="false" customHeight="false" outlineLevel="0" collapsed="false">
      <c r="A21" s="13" t="s">
        <v>902</v>
      </c>
      <c r="B21" s="20" t="s">
        <v>1320</v>
      </c>
      <c r="C21" s="256" t="n">
        <v>43207</v>
      </c>
      <c r="D21" s="257" t="n">
        <v>39.93312</v>
      </c>
      <c r="E21" s="257" t="n">
        <v>-82.96629</v>
      </c>
      <c r="F21" s="267"/>
      <c r="G21" s="267"/>
      <c r="H21" s="257"/>
      <c r="I21" s="257"/>
      <c r="J21" s="257"/>
      <c r="K21" s="267"/>
      <c r="L21" s="267"/>
      <c r="M21" s="267"/>
      <c r="N21" s="13" t="n">
        <v>64</v>
      </c>
      <c r="O21" s="13" t="n">
        <v>39</v>
      </c>
      <c r="P21" s="13" t="n">
        <v>58</v>
      </c>
    </row>
    <row r="22" customFormat="false" ht="23.85" hidden="false" customHeight="false" outlineLevel="0" collapsed="false">
      <c r="A22" s="13" t="s">
        <v>903</v>
      </c>
      <c r="B22" s="20" t="s">
        <v>1322</v>
      </c>
      <c r="C22" s="256" t="n">
        <v>43213</v>
      </c>
      <c r="D22" s="257" t="n">
        <v>39.975647</v>
      </c>
      <c r="E22" s="257" t="n">
        <v>-82.883125</v>
      </c>
      <c r="F22" s="267" t="n">
        <v>16651.5191702987</v>
      </c>
      <c r="G22" s="267" t="n">
        <v>16651.5191702987</v>
      </c>
      <c r="H22" s="257" t="s">
        <v>1288</v>
      </c>
      <c r="I22" s="257" t="s">
        <v>1277</v>
      </c>
      <c r="J22" s="257" t="s">
        <v>1278</v>
      </c>
      <c r="K22" s="267" t="n">
        <v>8002.29038153939</v>
      </c>
      <c r="L22" s="267" t="n">
        <v>796.798592499963</v>
      </c>
      <c r="M22" s="267" t="n">
        <v>1227.05659526248</v>
      </c>
      <c r="N22" s="13" t="n">
        <v>67</v>
      </c>
      <c r="O22" s="13" t="n">
        <v>35</v>
      </c>
      <c r="P22" s="13" t="n">
        <v>45</v>
      </c>
      <c r="AA22" s="50" t="s">
        <v>1321</v>
      </c>
    </row>
    <row r="23" customFormat="false" ht="23.85" hidden="false" customHeight="false" outlineLevel="0" collapsed="false">
      <c r="A23" s="13" t="s">
        <v>906</v>
      </c>
      <c r="B23" s="20" t="s">
        <v>862</v>
      </c>
      <c r="C23" s="256" t="n">
        <v>43235</v>
      </c>
      <c r="D23" s="257" t="n">
        <v>40.111164</v>
      </c>
      <c r="E23" s="257" t="n">
        <v>-83.0654</v>
      </c>
      <c r="F23" s="267" t="n">
        <v>19588.6223494682</v>
      </c>
      <c r="G23" s="267" t="n">
        <v>19588.6223494682</v>
      </c>
      <c r="H23" s="257" t="s">
        <v>1282</v>
      </c>
      <c r="I23" s="257" t="s">
        <v>1277</v>
      </c>
      <c r="J23" s="257" t="s">
        <v>1278</v>
      </c>
      <c r="K23" s="267" t="n">
        <v>159.15655364366</v>
      </c>
      <c r="L23" s="267" t="n">
        <v>3257.57883874339</v>
      </c>
      <c r="M23" s="267" t="n">
        <v>2619.34991022664</v>
      </c>
      <c r="N23" s="13" t="n">
        <v>42</v>
      </c>
      <c r="O23" s="13" t="n">
        <v>9</v>
      </c>
      <c r="P23" s="13" t="n">
        <v>26</v>
      </c>
      <c r="AA23" s="50" t="s">
        <v>1283</v>
      </c>
    </row>
    <row r="24" customFormat="false" ht="28.35" hidden="false" customHeight="false" outlineLevel="0" collapsed="false">
      <c r="A24" s="13" t="s">
        <v>908</v>
      </c>
      <c r="B24" s="20" t="s">
        <v>1323</v>
      </c>
      <c r="C24" s="256" t="n">
        <v>43214</v>
      </c>
      <c r="D24" s="257" t="n">
        <v>40.070442</v>
      </c>
      <c r="E24" s="257" t="n">
        <v>-83.01968</v>
      </c>
      <c r="F24" s="267" t="n">
        <v>17245.4791304875</v>
      </c>
      <c r="G24" s="267" t="n">
        <v>17245.4791304875</v>
      </c>
      <c r="H24" s="257" t="s">
        <v>1312</v>
      </c>
      <c r="I24" s="257" t="s">
        <v>1298</v>
      </c>
      <c r="J24" s="257" t="s">
        <v>1289</v>
      </c>
      <c r="K24" s="267" t="n">
        <v>3961.14106833564</v>
      </c>
      <c r="L24" s="267" t="n">
        <v>524.558457717228</v>
      </c>
      <c r="M24" s="267" t="n">
        <v>2344.86756020266</v>
      </c>
      <c r="N24" s="13" t="n">
        <v>81</v>
      </c>
      <c r="O24" s="13" t="n">
        <v>45</v>
      </c>
      <c r="P24" s="13" t="n">
        <v>67</v>
      </c>
      <c r="AA24" s="50" t="s">
        <v>1324</v>
      </c>
    </row>
    <row r="25" customFormat="false" ht="23.85" hidden="false" customHeight="false" outlineLevel="0" collapsed="false">
      <c r="A25" s="13" t="s">
        <v>911</v>
      </c>
      <c r="B25" s="20" t="s">
        <v>862</v>
      </c>
      <c r="C25" s="256" t="n">
        <v>43235</v>
      </c>
      <c r="D25" s="257" t="n">
        <v>40.111164</v>
      </c>
      <c r="E25" s="257" t="n">
        <v>-83.0654</v>
      </c>
      <c r="F25" s="267" t="n">
        <v>19588.6223494682</v>
      </c>
      <c r="G25" s="267" t="n">
        <v>19588.6223494682</v>
      </c>
      <c r="H25" s="257" t="s">
        <v>1282</v>
      </c>
      <c r="I25" s="257" t="s">
        <v>1277</v>
      </c>
      <c r="J25" s="257" t="s">
        <v>1278</v>
      </c>
      <c r="K25" s="267" t="n">
        <v>159.15655364366</v>
      </c>
      <c r="L25" s="267" t="n">
        <v>3257.57883874339</v>
      </c>
      <c r="M25" s="267" t="n">
        <v>2619.34991022664</v>
      </c>
      <c r="N25" s="13" t="n">
        <v>42</v>
      </c>
      <c r="O25" s="13" t="n">
        <v>9</v>
      </c>
      <c r="P25" s="13" t="n">
        <v>26</v>
      </c>
      <c r="AA25" s="50" t="s">
        <v>1283</v>
      </c>
    </row>
    <row r="26" customFormat="false" ht="23.85" hidden="false" customHeight="false" outlineLevel="0" collapsed="false">
      <c r="A26" s="13" t="s">
        <v>913</v>
      </c>
      <c r="B26" s="20" t="s">
        <v>471</v>
      </c>
      <c r="C26" s="256" t="n">
        <v>43203</v>
      </c>
      <c r="D26" s="257" t="n">
        <v>39.9668585</v>
      </c>
      <c r="E26" s="257" t="n">
        <v>-82.9522912</v>
      </c>
      <c r="F26" s="267"/>
      <c r="G26" s="267"/>
      <c r="H26" s="257" t="s">
        <v>1282</v>
      </c>
      <c r="I26" s="257"/>
      <c r="J26" s="257"/>
      <c r="K26" s="267"/>
      <c r="L26" s="267"/>
      <c r="M26" s="267"/>
      <c r="N26" s="13" t="n">
        <v>45</v>
      </c>
      <c r="O26" s="13" t="n">
        <v>43</v>
      </c>
      <c r="P26" s="13" t="n">
        <v>61</v>
      </c>
      <c r="AA26" s="50" t="s">
        <v>1325</v>
      </c>
    </row>
    <row r="27" customFormat="false" ht="23.85" hidden="false" customHeight="false" outlineLevel="0" collapsed="false">
      <c r="A27" s="13" t="s">
        <v>914</v>
      </c>
      <c r="B27" s="20" t="s">
        <v>862</v>
      </c>
      <c r="C27" s="256" t="n">
        <v>43235</v>
      </c>
      <c r="D27" s="257" t="n">
        <v>40.111164</v>
      </c>
      <c r="E27" s="257" t="n">
        <v>-83.0654</v>
      </c>
      <c r="F27" s="267" t="n">
        <v>19588.6223494682</v>
      </c>
      <c r="G27" s="267" t="n">
        <v>19588.6223494682</v>
      </c>
      <c r="H27" s="257" t="s">
        <v>1282</v>
      </c>
      <c r="I27" s="257" t="s">
        <v>1277</v>
      </c>
      <c r="J27" s="257" t="s">
        <v>1278</v>
      </c>
      <c r="K27" s="267" t="n">
        <v>159.15655364366</v>
      </c>
      <c r="L27" s="267" t="n">
        <v>3257.57883874339</v>
      </c>
      <c r="M27" s="267" t="n">
        <v>2619.34991022664</v>
      </c>
      <c r="N27" s="13" t="n">
        <v>42</v>
      </c>
      <c r="O27" s="13" t="n">
        <v>9</v>
      </c>
      <c r="P27" s="13" t="n">
        <v>26</v>
      </c>
      <c r="AA27" s="50" t="s">
        <v>1283</v>
      </c>
    </row>
    <row r="28" customFormat="false" ht="23.85" hidden="false" customHeight="false" outlineLevel="0" collapsed="false">
      <c r="A28" s="13" t="s">
        <v>916</v>
      </c>
      <c r="B28" s="20" t="s">
        <v>1326</v>
      </c>
      <c r="C28" s="256" t="n">
        <v>43207</v>
      </c>
      <c r="D28" s="257" t="n">
        <v>39.889465</v>
      </c>
      <c r="E28" s="257" t="n">
        <v>-82.996895</v>
      </c>
      <c r="F28" s="267" t="n">
        <v>18071.8222423794</v>
      </c>
      <c r="G28" s="267" t="n">
        <v>26129.74</v>
      </c>
      <c r="H28" s="257" t="s">
        <v>1282</v>
      </c>
      <c r="I28" s="257" t="s">
        <v>1327</v>
      </c>
      <c r="J28" s="257" t="s">
        <v>1289</v>
      </c>
      <c r="K28" s="267" t="n">
        <v>5526.84655287615</v>
      </c>
      <c r="L28" s="267" t="n">
        <v>2582.60871335483</v>
      </c>
      <c r="M28" s="267" t="n">
        <v>789.864208520481</v>
      </c>
      <c r="N28" s="13" t="n">
        <v>66</v>
      </c>
      <c r="O28" s="13" t="n">
        <v>33</v>
      </c>
      <c r="P28" s="13" t="n">
        <v>48</v>
      </c>
      <c r="AA28" s="50" t="s">
        <v>1328</v>
      </c>
    </row>
    <row r="29" customFormat="false" ht="23.85" hidden="false" customHeight="false" outlineLevel="0" collapsed="false">
      <c r="A29" s="13" t="s">
        <v>919</v>
      </c>
      <c r="B29" s="20" t="s">
        <v>862</v>
      </c>
      <c r="C29" s="256" t="n">
        <v>43235</v>
      </c>
      <c r="D29" s="257" t="n">
        <v>40.111164</v>
      </c>
      <c r="E29" s="257" t="n">
        <v>-83.0654</v>
      </c>
      <c r="F29" s="267" t="n">
        <v>19588.6223494682</v>
      </c>
      <c r="G29" s="267" t="n">
        <v>19588.6223494682</v>
      </c>
      <c r="H29" s="257" t="s">
        <v>1282</v>
      </c>
      <c r="I29" s="257" t="s">
        <v>1277</v>
      </c>
      <c r="J29" s="257" t="s">
        <v>1278</v>
      </c>
      <c r="K29" s="267" t="n">
        <v>159.15655364366</v>
      </c>
      <c r="L29" s="267" t="n">
        <v>3257.57883874339</v>
      </c>
      <c r="M29" s="267" t="n">
        <v>2619.34991022664</v>
      </c>
      <c r="N29" s="13" t="n">
        <v>42</v>
      </c>
      <c r="O29" s="13" t="n">
        <v>9</v>
      </c>
      <c r="P29" s="13" t="n">
        <v>26</v>
      </c>
      <c r="AA29" s="50" t="s">
        <v>1283</v>
      </c>
    </row>
    <row r="30" customFormat="false" ht="23.85" hidden="false" customHeight="false" outlineLevel="0" collapsed="false">
      <c r="A30" s="13" t="s">
        <v>921</v>
      </c>
      <c r="B30" s="20" t="s">
        <v>1329</v>
      </c>
      <c r="C30" s="256" t="n">
        <v>43211</v>
      </c>
      <c r="D30" s="257" t="n">
        <v>39.993523</v>
      </c>
      <c r="E30" s="257" t="n">
        <v>-82.98157</v>
      </c>
      <c r="F30" s="267" t="n">
        <v>10418.298134073</v>
      </c>
      <c r="G30" s="267" t="n">
        <v>11693.5</v>
      </c>
      <c r="H30" s="257" t="s">
        <v>1312</v>
      </c>
      <c r="I30" s="257" t="s">
        <v>1277</v>
      </c>
      <c r="J30" s="257" t="s">
        <v>1289</v>
      </c>
      <c r="K30" s="267" t="n">
        <v>975.729794616665</v>
      </c>
      <c r="L30" s="267" t="n">
        <v>529.39694721353</v>
      </c>
      <c r="M30" s="267" t="n">
        <v>1975.41675511655</v>
      </c>
      <c r="N30" s="13" t="n">
        <v>70</v>
      </c>
      <c r="O30" s="13" t="n">
        <v>46</v>
      </c>
      <c r="P30" s="13" t="n">
        <v>47</v>
      </c>
      <c r="AA30" s="50" t="s">
        <v>1330</v>
      </c>
    </row>
    <row r="31" customFormat="false" ht="23.85" hidden="false" customHeight="false" outlineLevel="0" collapsed="false">
      <c r="A31" s="13" t="s">
        <v>923</v>
      </c>
      <c r="B31" s="20" t="s">
        <v>862</v>
      </c>
      <c r="C31" s="256" t="n">
        <v>43235</v>
      </c>
      <c r="D31" s="257" t="n">
        <v>40.111164</v>
      </c>
      <c r="E31" s="257" t="n">
        <v>-83.0654</v>
      </c>
      <c r="F31" s="267" t="n">
        <v>19588.6223494682</v>
      </c>
      <c r="G31" s="267" t="n">
        <v>19588.6223494682</v>
      </c>
      <c r="H31" s="257" t="s">
        <v>1282</v>
      </c>
      <c r="I31" s="257" t="s">
        <v>1277</v>
      </c>
      <c r="J31" s="257" t="s">
        <v>1278</v>
      </c>
      <c r="K31" s="267" t="n">
        <v>159.15655364366</v>
      </c>
      <c r="L31" s="267" t="n">
        <v>3257.57883874339</v>
      </c>
      <c r="M31" s="267" t="n">
        <v>2619.34991022664</v>
      </c>
      <c r="N31" s="13" t="n">
        <v>42</v>
      </c>
      <c r="O31" s="13" t="n">
        <v>9</v>
      </c>
      <c r="P31" s="13" t="n">
        <v>26</v>
      </c>
      <c r="AA31" s="50" t="s">
        <v>1283</v>
      </c>
    </row>
    <row r="32" customFormat="false" ht="23.85" hidden="false" customHeight="false" outlineLevel="0" collapsed="false">
      <c r="A32" s="13" t="s">
        <v>925</v>
      </c>
      <c r="B32" s="20" t="s">
        <v>926</v>
      </c>
      <c r="C32" s="256" t="n">
        <v>43209</v>
      </c>
      <c r="D32" s="257" t="n">
        <v>39.9575</v>
      </c>
      <c r="E32" s="257" t="n">
        <v>-82.9393</v>
      </c>
      <c r="F32" s="267" t="n">
        <v>4988.40228760112</v>
      </c>
      <c r="G32" s="267" t="n">
        <v>4988.40228760112</v>
      </c>
      <c r="H32" s="257" t="s">
        <v>1312</v>
      </c>
      <c r="I32" s="257" t="s">
        <v>1298</v>
      </c>
      <c r="J32" s="257" t="s">
        <v>1278</v>
      </c>
      <c r="K32" s="267" t="n">
        <v>2577.49032836342</v>
      </c>
      <c r="L32" s="267" t="n">
        <v>2496.25</v>
      </c>
      <c r="M32" s="267" t="n">
        <v>1097.17098378564</v>
      </c>
      <c r="N32" s="13" t="n">
        <v>81</v>
      </c>
      <c r="O32" s="13" t="s">
        <v>1331</v>
      </c>
      <c r="P32" s="13" t="n">
        <v>72</v>
      </c>
      <c r="AA32" s="50" t="s">
        <v>1332</v>
      </c>
    </row>
    <row r="33" customFormat="false" ht="23.85" hidden="false" customHeight="false" outlineLevel="0" collapsed="false">
      <c r="A33" s="13" t="s">
        <v>928</v>
      </c>
      <c r="B33" s="20" t="s">
        <v>862</v>
      </c>
      <c r="C33" s="256" t="n">
        <v>43235</v>
      </c>
      <c r="D33" s="257" t="n">
        <v>40.111164</v>
      </c>
      <c r="E33" s="257" t="n">
        <v>-83.0654</v>
      </c>
      <c r="F33" s="267" t="n">
        <v>19588.6223494682</v>
      </c>
      <c r="G33" s="267" t="n">
        <v>19588.6223494682</v>
      </c>
      <c r="H33" s="257" t="s">
        <v>1282</v>
      </c>
      <c r="I33" s="257" t="s">
        <v>1277</v>
      </c>
      <c r="J33" s="257" t="s">
        <v>1278</v>
      </c>
      <c r="K33" s="267" t="n">
        <v>159.15655364366</v>
      </c>
      <c r="L33" s="267" t="n">
        <v>3257.57883874339</v>
      </c>
      <c r="M33" s="267" t="n">
        <v>2619.34991022664</v>
      </c>
      <c r="N33" s="13" t="n">
        <v>42</v>
      </c>
      <c r="O33" s="13" t="n">
        <v>9</v>
      </c>
      <c r="P33" s="13" t="n">
        <v>26</v>
      </c>
      <c r="AA33" s="50" t="s">
        <v>1283</v>
      </c>
    </row>
    <row r="34" customFormat="false" ht="23.85" hidden="false" customHeight="false" outlineLevel="0" collapsed="false">
      <c r="A34" s="13" t="s">
        <v>930</v>
      </c>
      <c r="B34" s="20" t="s">
        <v>1333</v>
      </c>
      <c r="C34" s="256" t="n">
        <v>43205</v>
      </c>
      <c r="D34" s="257" t="n">
        <v>39.957497</v>
      </c>
      <c r="E34" s="257" t="n">
        <v>-82.96899</v>
      </c>
      <c r="F34" s="267" t="n">
        <v>5791.55066268455</v>
      </c>
      <c r="G34" s="267" t="n">
        <v>8323.09</v>
      </c>
      <c r="H34" s="257" t="s">
        <v>1312</v>
      </c>
      <c r="I34" s="257" t="s">
        <v>1277</v>
      </c>
      <c r="J34" s="257" t="s">
        <v>1278</v>
      </c>
      <c r="K34" s="267" t="n">
        <v>1333.32974883997</v>
      </c>
      <c r="L34" s="267" t="n">
        <v>1239.39025745752</v>
      </c>
      <c r="M34" s="267" t="n">
        <v>729.20432222702</v>
      </c>
      <c r="N34" s="13" t="n">
        <v>72</v>
      </c>
      <c r="O34" s="13" t="n">
        <v>45</v>
      </c>
      <c r="P34" s="13" t="n">
        <v>74</v>
      </c>
      <c r="AA34" s="50" t="s">
        <v>1334</v>
      </c>
    </row>
    <row r="35" customFormat="false" ht="23.85" hidden="false" customHeight="false" outlineLevel="0" collapsed="false">
      <c r="A35" s="13" t="s">
        <v>931</v>
      </c>
      <c r="B35" s="20" t="s">
        <v>862</v>
      </c>
      <c r="C35" s="256" t="n">
        <v>43235</v>
      </c>
      <c r="D35" s="257" t="n">
        <v>40.111164</v>
      </c>
      <c r="E35" s="257" t="n">
        <v>-83.0654</v>
      </c>
      <c r="F35" s="267" t="n">
        <v>19588.6223494682</v>
      </c>
      <c r="G35" s="267" t="n">
        <v>19588.6223494682</v>
      </c>
      <c r="H35" s="257" t="s">
        <v>1282</v>
      </c>
      <c r="I35" s="257" t="s">
        <v>1277</v>
      </c>
      <c r="J35" s="257" t="s">
        <v>1278</v>
      </c>
      <c r="K35" s="267" t="n">
        <v>159.15655364366</v>
      </c>
      <c r="L35" s="267" t="n">
        <v>3257.57883874339</v>
      </c>
      <c r="M35" s="267" t="n">
        <v>2619.34991022664</v>
      </c>
      <c r="N35" s="13" t="n">
        <v>42</v>
      </c>
      <c r="O35" s="13" t="n">
        <v>9</v>
      </c>
      <c r="P35" s="13" t="n">
        <v>26</v>
      </c>
      <c r="AA35" s="50" t="s">
        <v>1283</v>
      </c>
    </row>
    <row r="36" customFormat="false" ht="23.85" hidden="false" customHeight="false" outlineLevel="0" collapsed="false">
      <c r="A36" s="13" t="s">
        <v>933</v>
      </c>
      <c r="B36" s="20" t="s">
        <v>536</v>
      </c>
      <c r="C36" s="256" t="n">
        <v>43202</v>
      </c>
      <c r="D36" s="257" t="n">
        <v>40.024006</v>
      </c>
      <c r="E36" s="257" t="n">
        <v>-83.0077</v>
      </c>
      <c r="F36" s="267" t="n">
        <v>4929.53688075695</v>
      </c>
      <c r="G36" s="267" t="n">
        <v>4929.53688075695</v>
      </c>
      <c r="H36" s="257" t="s">
        <v>1288</v>
      </c>
      <c r="I36" s="257" t="s">
        <v>1277</v>
      </c>
      <c r="J36" s="257" t="s">
        <v>1289</v>
      </c>
      <c r="K36" s="267" t="n">
        <v>3544.73004868189</v>
      </c>
      <c r="L36" s="267" t="n">
        <v>326.96621035664</v>
      </c>
      <c r="M36" s="267" t="n">
        <v>1656.49647007531</v>
      </c>
      <c r="N36" s="13" t="n">
        <v>80</v>
      </c>
      <c r="O36" s="13" t="n">
        <v>38</v>
      </c>
      <c r="P36" s="13" t="n">
        <v>73</v>
      </c>
      <c r="AA36" s="50" t="s">
        <v>1335</v>
      </c>
    </row>
    <row r="37" customFormat="false" ht="23.85" hidden="false" customHeight="false" outlineLevel="0" collapsed="false">
      <c r="A37" s="13" t="s">
        <v>936</v>
      </c>
      <c r="B37" s="20" t="s">
        <v>862</v>
      </c>
      <c r="C37" s="256" t="n">
        <v>43235</v>
      </c>
      <c r="D37" s="257" t="n">
        <v>40.111164</v>
      </c>
      <c r="E37" s="257" t="n">
        <v>-83.0654</v>
      </c>
      <c r="F37" s="267" t="n">
        <v>19588.6223494682</v>
      </c>
      <c r="G37" s="267" t="n">
        <v>19588.6223494682</v>
      </c>
      <c r="H37" s="257" t="s">
        <v>1282</v>
      </c>
      <c r="I37" s="257" t="s">
        <v>1277</v>
      </c>
      <c r="J37" s="257" t="s">
        <v>1278</v>
      </c>
      <c r="K37" s="267" t="n">
        <v>159.15655364366</v>
      </c>
      <c r="L37" s="267" t="n">
        <v>3257.57883874339</v>
      </c>
      <c r="M37" s="267" t="n">
        <v>2619.34991022664</v>
      </c>
      <c r="N37" s="13" t="n">
        <v>42</v>
      </c>
      <c r="O37" s="13" t="n">
        <v>9</v>
      </c>
      <c r="P37" s="13" t="n">
        <v>26</v>
      </c>
      <c r="AA37" s="50" t="s">
        <v>1283</v>
      </c>
    </row>
    <row r="38" customFormat="false" ht="23.85" hidden="false" customHeight="false" outlineLevel="0" collapsed="false">
      <c r="A38" s="13" t="s">
        <v>938</v>
      </c>
      <c r="B38" s="20" t="s">
        <v>939</v>
      </c>
      <c r="C38" s="256" t="n">
        <v>43215</v>
      </c>
      <c r="D38" s="257" t="n">
        <v>39.96028</v>
      </c>
      <c r="E38" s="257" t="n">
        <v>-83.006294</v>
      </c>
      <c r="F38" s="267" t="n">
        <v>5089.22560414594</v>
      </c>
      <c r="G38" s="267" t="n">
        <v>5089.22560414594</v>
      </c>
      <c r="H38" s="257" t="s">
        <v>1312</v>
      </c>
      <c r="I38" s="257" t="s">
        <v>1336</v>
      </c>
      <c r="J38" s="257" t="s">
        <v>1336</v>
      </c>
      <c r="K38" s="267" t="n">
        <v>2475.80426429074</v>
      </c>
      <c r="L38" s="267" t="n">
        <v>2726.26701193993</v>
      </c>
      <c r="M38" s="267" t="n">
        <v>184.60741618372</v>
      </c>
      <c r="N38" s="13" t="n">
        <v>58</v>
      </c>
      <c r="O38" s="13" t="n">
        <v>62</v>
      </c>
      <c r="P38" s="13" t="n">
        <v>78</v>
      </c>
      <c r="AA38" s="50" t="s">
        <v>1337</v>
      </c>
    </row>
    <row r="39" customFormat="false" ht="23.85" hidden="false" customHeight="false" outlineLevel="0" collapsed="false">
      <c r="A39" s="13" t="s">
        <v>940</v>
      </c>
      <c r="B39" s="20" t="s">
        <v>862</v>
      </c>
      <c r="C39" s="256" t="n">
        <v>43235</v>
      </c>
      <c r="D39" s="257" t="n">
        <v>40.111164</v>
      </c>
      <c r="E39" s="257" t="n">
        <v>-83.0654</v>
      </c>
      <c r="F39" s="267" t="n">
        <v>19588.6223494682</v>
      </c>
      <c r="G39" s="267" t="n">
        <v>19588.6223494682</v>
      </c>
      <c r="H39" s="257" t="s">
        <v>1282</v>
      </c>
      <c r="I39" s="257" t="s">
        <v>1277</v>
      </c>
      <c r="J39" s="257" t="s">
        <v>1278</v>
      </c>
      <c r="K39" s="267" t="n">
        <v>159.15655364366</v>
      </c>
      <c r="L39" s="267" t="n">
        <v>3257.57883874339</v>
      </c>
      <c r="M39" s="267" t="n">
        <v>2619.34991022664</v>
      </c>
      <c r="N39" s="13" t="n">
        <v>42</v>
      </c>
      <c r="O39" s="13" t="n">
        <v>9</v>
      </c>
      <c r="P39" s="13" t="n">
        <v>26</v>
      </c>
      <c r="AA39" s="50" t="s">
        <v>1283</v>
      </c>
    </row>
    <row r="40" customFormat="false" ht="12.75" hidden="false" customHeight="false" outlineLevel="0" collapsed="false">
      <c r="A40" s="13" t="s">
        <v>942</v>
      </c>
      <c r="B40" s="20" t="s">
        <v>1014</v>
      </c>
      <c r="C40" s="256" t="n">
        <v>43212</v>
      </c>
      <c r="D40" s="257" t="n">
        <v>39.982983</v>
      </c>
      <c r="E40" s="257" t="n">
        <v>-83.05434</v>
      </c>
      <c r="F40" s="267" t="n">
        <v>5214.43078408102</v>
      </c>
      <c r="G40" s="267" t="n">
        <v>9271.78</v>
      </c>
      <c r="H40" s="257" t="s">
        <v>1288</v>
      </c>
      <c r="I40" s="257" t="s">
        <v>1298</v>
      </c>
      <c r="J40" s="257" t="s">
        <v>1289</v>
      </c>
      <c r="K40" s="267" t="n">
        <v>5113.764422699</v>
      </c>
      <c r="L40" s="267" t="n">
        <v>1571.07486670093</v>
      </c>
      <c r="M40" s="267" t="n">
        <v>1525.37675149424</v>
      </c>
      <c r="N40" s="13" t="n">
        <v>65</v>
      </c>
      <c r="O40" s="13" t="s">
        <v>1331</v>
      </c>
      <c r="P40" s="13" t="n">
        <v>61</v>
      </c>
      <c r="AA40" s="50" t="s">
        <v>1338</v>
      </c>
    </row>
    <row r="41" customFormat="false" ht="23.85" hidden="false" customHeight="false" outlineLevel="0" collapsed="false">
      <c r="A41" s="13" t="s">
        <v>944</v>
      </c>
      <c r="B41" s="20" t="s">
        <v>862</v>
      </c>
      <c r="C41" s="256" t="n">
        <v>43235</v>
      </c>
      <c r="D41" s="257" t="n">
        <v>40.111164</v>
      </c>
      <c r="E41" s="257" t="n">
        <v>-83.0654</v>
      </c>
      <c r="F41" s="267" t="n">
        <v>19588.6223494682</v>
      </c>
      <c r="G41" s="267" t="n">
        <v>19588.6223494682</v>
      </c>
      <c r="H41" s="257" t="s">
        <v>1282</v>
      </c>
      <c r="I41" s="257" t="s">
        <v>1277</v>
      </c>
      <c r="J41" s="257" t="s">
        <v>1278</v>
      </c>
      <c r="K41" s="267" t="n">
        <v>159.15655364366</v>
      </c>
      <c r="L41" s="267" t="n">
        <v>3257.57883874339</v>
      </c>
      <c r="M41" s="267" t="n">
        <v>2619.34991022664</v>
      </c>
      <c r="N41" s="13" t="n">
        <v>42</v>
      </c>
      <c r="O41" s="13" t="n">
        <v>9</v>
      </c>
      <c r="P41" s="13" t="n">
        <v>26</v>
      </c>
      <c r="AA41" s="50" t="s">
        <v>1283</v>
      </c>
    </row>
    <row r="42" customFormat="false" ht="12.75" hidden="false" customHeight="false" outlineLevel="0" collapsed="false">
      <c r="A42" s="13" t="s">
        <v>946</v>
      </c>
      <c r="B42" s="20" t="s">
        <v>1339</v>
      </c>
      <c r="C42" s="256" t="n">
        <v>43232</v>
      </c>
      <c r="D42" s="257" t="n">
        <v>39.92103</v>
      </c>
      <c r="E42" s="257" t="n">
        <v>-82.89317</v>
      </c>
      <c r="F42" s="267" t="n">
        <v>18542.1894262729</v>
      </c>
      <c r="G42" s="267" t="n">
        <v>18542.1894262729</v>
      </c>
      <c r="H42" s="257" t="s">
        <v>1288</v>
      </c>
      <c r="I42" s="257" t="s">
        <v>1277</v>
      </c>
      <c r="J42" s="257" t="s">
        <v>1278</v>
      </c>
      <c r="K42" s="267" t="n">
        <v>3381.51734076499</v>
      </c>
      <c r="L42" s="267" t="n">
        <v>3417.10622306241</v>
      </c>
      <c r="M42" s="267" t="n">
        <v>2026.00932475533</v>
      </c>
      <c r="N42" s="13" t="n">
        <v>30</v>
      </c>
      <c r="O42" s="13" t="n">
        <v>33</v>
      </c>
      <c r="P42" s="13" t="n">
        <v>37</v>
      </c>
    </row>
    <row r="43" customFormat="false" ht="23.85" hidden="false" customHeight="false" outlineLevel="0" collapsed="false">
      <c r="A43" s="13" t="s">
        <v>947</v>
      </c>
      <c r="B43" s="269" t="s">
        <v>536</v>
      </c>
      <c r="C43" s="256" t="n">
        <v>43202</v>
      </c>
      <c r="D43" s="270" t="n">
        <v>40.0242965979628</v>
      </c>
      <c r="E43" s="257" t="n">
        <v>-83.006829427231</v>
      </c>
      <c r="F43" s="267"/>
      <c r="G43" s="267"/>
      <c r="H43" s="257"/>
      <c r="I43" s="257"/>
      <c r="J43" s="257"/>
      <c r="K43" s="267"/>
      <c r="L43" s="267"/>
      <c r="M43" s="267"/>
      <c r="N43" s="13" t="n">
        <v>80</v>
      </c>
      <c r="O43" s="13" t="n">
        <v>38</v>
      </c>
      <c r="P43" s="13" t="n">
        <v>73</v>
      </c>
      <c r="AA43" s="50" t="s">
        <v>1340</v>
      </c>
    </row>
    <row r="44" customFormat="false" ht="23.85" hidden="false" customHeight="false" outlineLevel="0" collapsed="false">
      <c r="A44" s="13" t="s">
        <v>949</v>
      </c>
      <c r="B44" s="20" t="s">
        <v>862</v>
      </c>
      <c r="C44" s="256" t="n">
        <v>43235</v>
      </c>
      <c r="D44" s="257" t="n">
        <v>40.111164</v>
      </c>
      <c r="E44" s="257" t="n">
        <v>-83.0654</v>
      </c>
      <c r="F44" s="267" t="n">
        <v>19588.6223494682</v>
      </c>
      <c r="G44" s="267" t="n">
        <v>19588.6223494682</v>
      </c>
      <c r="H44" s="257" t="s">
        <v>1282</v>
      </c>
      <c r="I44" s="257" t="s">
        <v>1277</v>
      </c>
      <c r="J44" s="257" t="s">
        <v>1278</v>
      </c>
      <c r="K44" s="267" t="n">
        <v>159.15655364366</v>
      </c>
      <c r="L44" s="267" t="n">
        <v>3257.57883874339</v>
      </c>
      <c r="M44" s="267" t="n">
        <v>2619.34991022664</v>
      </c>
      <c r="N44" s="13" t="n">
        <v>42</v>
      </c>
      <c r="O44" s="13" t="n">
        <v>9</v>
      </c>
      <c r="P44" s="13" t="n">
        <v>26</v>
      </c>
      <c r="AA44" s="50" t="s">
        <v>1283</v>
      </c>
    </row>
    <row r="45" customFormat="false" ht="23.85" hidden="false" customHeight="false" outlineLevel="0" collapsed="false">
      <c r="A45" s="13" t="s">
        <v>951</v>
      </c>
      <c r="B45" s="20" t="s">
        <v>1341</v>
      </c>
      <c r="C45" s="256" t="n">
        <v>43222</v>
      </c>
      <c r="D45" s="257" t="n">
        <v>39.9589</v>
      </c>
      <c r="E45" s="257" t="n">
        <v>-83.02436</v>
      </c>
      <c r="F45" s="267" t="n">
        <v>3716.65622569622</v>
      </c>
      <c r="G45" s="267" t="n">
        <v>5089.24</v>
      </c>
      <c r="H45" s="257" t="s">
        <v>1312</v>
      </c>
      <c r="I45" s="257" t="s">
        <v>1277</v>
      </c>
      <c r="J45" s="257" t="s">
        <v>1289</v>
      </c>
      <c r="K45" s="267" t="n">
        <v>1581.26637188262</v>
      </c>
      <c r="L45" s="267" t="n">
        <v>617.50734052776</v>
      </c>
      <c r="M45" s="267" t="n">
        <v>609.766837826447</v>
      </c>
      <c r="N45" s="13" t="n">
        <v>72</v>
      </c>
      <c r="O45" s="13" t="n">
        <v>47</v>
      </c>
      <c r="P45" s="13" t="n">
        <v>64</v>
      </c>
      <c r="AA45" s="50" t="s">
        <v>1342</v>
      </c>
    </row>
    <row r="46" customFormat="false" ht="23.85" hidden="false" customHeight="false" outlineLevel="0" collapsed="false">
      <c r="A46" s="13" t="s">
        <v>953</v>
      </c>
      <c r="B46" s="20" t="s">
        <v>862</v>
      </c>
      <c r="C46" s="256" t="n">
        <v>43235</v>
      </c>
      <c r="D46" s="257" t="n">
        <v>40.111164</v>
      </c>
      <c r="E46" s="257" t="n">
        <v>-83.0654</v>
      </c>
      <c r="F46" s="267" t="n">
        <v>19588.6223494682</v>
      </c>
      <c r="G46" s="267" t="n">
        <v>19588.6223494682</v>
      </c>
      <c r="H46" s="257" t="s">
        <v>1282</v>
      </c>
      <c r="I46" s="257" t="s">
        <v>1277</v>
      </c>
      <c r="J46" s="257" t="s">
        <v>1278</v>
      </c>
      <c r="K46" s="267" t="n">
        <v>159.15655364366</v>
      </c>
      <c r="L46" s="267" t="n">
        <v>3257.57883874339</v>
      </c>
      <c r="M46" s="267" t="n">
        <v>2619.34991022664</v>
      </c>
      <c r="N46" s="13" t="n">
        <v>42</v>
      </c>
      <c r="O46" s="13" t="n">
        <v>9</v>
      </c>
      <c r="P46" s="13" t="n">
        <v>26</v>
      </c>
      <c r="AA46" s="50" t="s">
        <v>1283</v>
      </c>
    </row>
    <row r="47" customFormat="false" ht="23.85" hidden="false" customHeight="false" outlineLevel="0" collapsed="false">
      <c r="A47" s="13" t="s">
        <v>955</v>
      </c>
      <c r="B47" s="20" t="s">
        <v>1322</v>
      </c>
      <c r="C47" s="256" t="n">
        <v>43213</v>
      </c>
      <c r="D47" s="257" t="n">
        <v>39.975647</v>
      </c>
      <c r="E47" s="257" t="n">
        <v>-82.883125</v>
      </c>
      <c r="F47" s="267"/>
      <c r="G47" s="267"/>
      <c r="H47" s="257"/>
      <c r="I47" s="257"/>
      <c r="J47" s="257"/>
      <c r="K47" s="267"/>
      <c r="L47" s="267"/>
      <c r="M47" s="267"/>
      <c r="N47" s="13" t="n">
        <v>67</v>
      </c>
      <c r="O47" s="13" t="n">
        <v>35</v>
      </c>
      <c r="P47" s="13" t="n">
        <v>47</v>
      </c>
      <c r="AA47" s="50" t="s">
        <v>1343</v>
      </c>
    </row>
    <row r="48" customFormat="false" ht="23.85" hidden="false" customHeight="false" outlineLevel="0" collapsed="false">
      <c r="A48" s="13" t="s">
        <v>956</v>
      </c>
      <c r="B48" s="20" t="s">
        <v>862</v>
      </c>
      <c r="C48" s="256" t="n">
        <v>43235</v>
      </c>
      <c r="D48" s="257" t="n">
        <v>40.111164</v>
      </c>
      <c r="E48" s="257" t="n">
        <v>-83.0654</v>
      </c>
      <c r="F48" s="267" t="n">
        <v>19588.6223494682</v>
      </c>
      <c r="G48" s="267" t="n">
        <v>19588.6223494682</v>
      </c>
      <c r="H48" s="257" t="s">
        <v>1282</v>
      </c>
      <c r="I48" s="257" t="s">
        <v>1277</v>
      </c>
      <c r="J48" s="257" t="s">
        <v>1278</v>
      </c>
      <c r="K48" s="267" t="n">
        <v>159.15655364366</v>
      </c>
      <c r="L48" s="267" t="n">
        <v>3257.57883874339</v>
      </c>
      <c r="M48" s="267" t="n">
        <v>2619.34991022664</v>
      </c>
      <c r="N48" s="13" t="n">
        <v>42</v>
      </c>
      <c r="O48" s="13" t="n">
        <v>9</v>
      </c>
      <c r="P48" s="13" t="n">
        <v>26</v>
      </c>
      <c r="AA48" s="50" t="s">
        <v>1283</v>
      </c>
    </row>
    <row r="49" customFormat="false" ht="23.85" hidden="false" customHeight="false" outlineLevel="0" collapsed="false">
      <c r="A49" s="13" t="s">
        <v>958</v>
      </c>
      <c r="B49" s="20" t="s">
        <v>1344</v>
      </c>
      <c r="C49" s="256" t="n">
        <v>43222</v>
      </c>
      <c r="D49" s="257" t="n">
        <v>39.961174</v>
      </c>
      <c r="E49" s="257" t="n">
        <v>-83.037285</v>
      </c>
      <c r="F49" s="267" t="n">
        <v>3716.65622569622</v>
      </c>
      <c r="G49" s="267" t="n">
        <v>6365.55</v>
      </c>
      <c r="H49" s="257" t="s">
        <v>1288</v>
      </c>
      <c r="I49" s="257" t="s">
        <v>1277</v>
      </c>
      <c r="J49" s="257" t="s">
        <v>1289</v>
      </c>
      <c r="K49" s="267" t="n">
        <v>1635.00525677073</v>
      </c>
      <c r="L49" s="267" t="n">
        <v>1174.13101026966</v>
      </c>
      <c r="M49" s="267" t="n">
        <v>693.296148386571</v>
      </c>
      <c r="N49" s="13" t="n">
        <v>51</v>
      </c>
      <c r="O49" s="13" t="n">
        <v>42</v>
      </c>
      <c r="P49" s="13" t="n">
        <v>55</v>
      </c>
      <c r="AA49" s="50" t="s">
        <v>1345</v>
      </c>
    </row>
    <row r="50" customFormat="false" ht="23.85" hidden="false" customHeight="false" outlineLevel="0" collapsed="false">
      <c r="A50" s="13" t="s">
        <v>959</v>
      </c>
      <c r="B50" s="20" t="s">
        <v>862</v>
      </c>
      <c r="C50" s="256" t="n">
        <v>43235</v>
      </c>
      <c r="D50" s="257" t="n">
        <v>40.111164</v>
      </c>
      <c r="E50" s="257" t="n">
        <v>-83.0654</v>
      </c>
      <c r="F50" s="267" t="n">
        <v>19588.6223494682</v>
      </c>
      <c r="G50" s="267" t="n">
        <v>19588.6223494682</v>
      </c>
      <c r="H50" s="257" t="s">
        <v>1282</v>
      </c>
      <c r="I50" s="257" t="s">
        <v>1277</v>
      </c>
      <c r="J50" s="257" t="s">
        <v>1278</v>
      </c>
      <c r="K50" s="267" t="n">
        <v>159.15655364366</v>
      </c>
      <c r="L50" s="267" t="n">
        <v>3257.57883874339</v>
      </c>
      <c r="M50" s="267" t="n">
        <v>2619.34991022664</v>
      </c>
      <c r="N50" s="13" t="n">
        <v>42</v>
      </c>
      <c r="O50" s="13" t="n">
        <v>9</v>
      </c>
      <c r="P50" s="13" t="n">
        <v>26</v>
      </c>
      <c r="AA50" s="50" t="s">
        <v>1283</v>
      </c>
    </row>
    <row r="51" customFormat="false" ht="23.85" hidden="false" customHeight="false" outlineLevel="0" collapsed="false">
      <c r="A51" s="13" t="s">
        <v>961</v>
      </c>
      <c r="B51" s="20" t="s">
        <v>1346</v>
      </c>
      <c r="C51" s="256" t="n">
        <v>43123</v>
      </c>
      <c r="D51" s="257" t="n">
        <v>39.839783</v>
      </c>
      <c r="E51" s="257" t="n">
        <v>-83.07625</v>
      </c>
      <c r="F51" s="267" t="n">
        <v>14362.8750358788</v>
      </c>
      <c r="G51" s="267" t="n">
        <v>28700.56</v>
      </c>
      <c r="H51" s="257" t="s">
        <v>1312</v>
      </c>
      <c r="I51" s="257" t="s">
        <v>1298</v>
      </c>
      <c r="J51" s="257" t="s">
        <v>1278</v>
      </c>
      <c r="K51" s="267" t="n">
        <v>3467.54702363379</v>
      </c>
      <c r="L51" s="267" t="n">
        <v>5984.96846512438</v>
      </c>
      <c r="M51" s="267" t="n">
        <v>1584.72306458504</v>
      </c>
      <c r="N51" s="13" t="n">
        <v>51</v>
      </c>
      <c r="O51" s="13" t="s">
        <v>1331</v>
      </c>
      <c r="P51" s="13" t="n">
        <v>66</v>
      </c>
      <c r="AA51" s="50" t="s">
        <v>1347</v>
      </c>
    </row>
    <row r="52" customFormat="false" ht="23.85" hidden="false" customHeight="false" outlineLevel="0" collapsed="false">
      <c r="A52" s="13" t="s">
        <v>964</v>
      </c>
      <c r="B52" s="20" t="s">
        <v>862</v>
      </c>
      <c r="C52" s="256" t="n">
        <v>43235</v>
      </c>
      <c r="D52" s="257" t="n">
        <v>40.111164</v>
      </c>
      <c r="E52" s="257" t="n">
        <v>-83.0654</v>
      </c>
      <c r="F52" s="267" t="n">
        <v>19588.6223494682</v>
      </c>
      <c r="G52" s="267" t="n">
        <v>19588.6223494682</v>
      </c>
      <c r="H52" s="257" t="s">
        <v>1282</v>
      </c>
      <c r="I52" s="257" t="s">
        <v>1277</v>
      </c>
      <c r="J52" s="257" t="s">
        <v>1278</v>
      </c>
      <c r="K52" s="267" t="n">
        <v>159.15655364366</v>
      </c>
      <c r="L52" s="267" t="n">
        <v>3257.57883874339</v>
      </c>
      <c r="M52" s="267" t="n">
        <v>2619.34991022664</v>
      </c>
      <c r="N52" s="13" t="n">
        <v>42</v>
      </c>
      <c r="O52" s="13" t="n">
        <v>9</v>
      </c>
      <c r="P52" s="13" t="n">
        <v>26</v>
      </c>
      <c r="AA52" s="50" t="s">
        <v>1283</v>
      </c>
    </row>
    <row r="53" customFormat="false" ht="23.85" hidden="false" customHeight="false" outlineLevel="0" collapsed="false">
      <c r="A53" s="13" t="s">
        <v>966</v>
      </c>
      <c r="B53" s="20" t="s">
        <v>1348</v>
      </c>
      <c r="C53" s="256" t="n">
        <v>43081</v>
      </c>
      <c r="D53" s="257" t="n">
        <v>40.0982</v>
      </c>
      <c r="E53" s="257" t="n">
        <v>-82.899765</v>
      </c>
      <c r="F53" s="267" t="n">
        <v>35045.3220118559</v>
      </c>
      <c r="G53" s="267" t="n">
        <v>35045.3220118559</v>
      </c>
      <c r="H53" s="257" t="s">
        <v>1282</v>
      </c>
      <c r="I53" s="257" t="s">
        <v>1327</v>
      </c>
      <c r="J53" s="257" t="s">
        <v>1289</v>
      </c>
      <c r="K53" s="267" t="n">
        <v>3091.01143822491</v>
      </c>
      <c r="L53" s="267" t="n">
        <v>2873.47323169019</v>
      </c>
      <c r="M53" s="267" t="n">
        <v>0</v>
      </c>
      <c r="N53" s="13" t="n">
        <v>9</v>
      </c>
      <c r="O53" s="13" t="s">
        <v>1331</v>
      </c>
      <c r="P53" s="13" t="n">
        <v>34</v>
      </c>
      <c r="AA53" s="50" t="s">
        <v>1349</v>
      </c>
    </row>
    <row r="54" customFormat="false" ht="23.85" hidden="false" customHeight="false" outlineLevel="0" collapsed="false">
      <c r="A54" s="13" t="s">
        <v>969</v>
      </c>
      <c r="B54" s="20" t="s">
        <v>862</v>
      </c>
      <c r="C54" s="256" t="n">
        <v>43235</v>
      </c>
      <c r="D54" s="257" t="n">
        <v>40.111164</v>
      </c>
      <c r="E54" s="257" t="n">
        <v>-83.0654</v>
      </c>
      <c r="F54" s="267" t="n">
        <v>19588.6223494682</v>
      </c>
      <c r="G54" s="267" t="n">
        <v>19588.6223494682</v>
      </c>
      <c r="H54" s="257" t="s">
        <v>1282</v>
      </c>
      <c r="I54" s="257" t="s">
        <v>1277</v>
      </c>
      <c r="J54" s="257" t="s">
        <v>1278</v>
      </c>
      <c r="K54" s="267" t="n">
        <v>159.15655364366</v>
      </c>
      <c r="L54" s="267" t="n">
        <v>3257.57883874339</v>
      </c>
      <c r="M54" s="267" t="n">
        <v>2619.34991022664</v>
      </c>
      <c r="N54" s="13" t="n">
        <v>42</v>
      </c>
      <c r="O54" s="13" t="n">
        <v>9</v>
      </c>
      <c r="P54" s="13" t="n">
        <v>26</v>
      </c>
      <c r="AA54" s="50" t="s">
        <v>1283</v>
      </c>
    </row>
    <row r="55" customFormat="false" ht="12.75" hidden="false" customHeight="false" outlineLevel="0" collapsed="false">
      <c r="A55" s="13" t="s">
        <v>971</v>
      </c>
      <c r="B55" s="20" t="s">
        <v>1350</v>
      </c>
      <c r="C55" s="256" t="n">
        <v>43204</v>
      </c>
      <c r="D55" s="257" t="n">
        <v>39.9445</v>
      </c>
      <c r="E55" s="257" t="n">
        <v>-83.0735</v>
      </c>
      <c r="F55" s="267" t="n">
        <v>6416.77583023536</v>
      </c>
      <c r="G55" s="267" t="n">
        <v>6416.77583023536</v>
      </c>
      <c r="H55" s="257" t="s">
        <v>1282</v>
      </c>
      <c r="I55" s="257" t="s">
        <v>1277</v>
      </c>
      <c r="J55" s="257" t="s">
        <v>1289</v>
      </c>
      <c r="K55" s="267" t="n">
        <v>8852.55231475083</v>
      </c>
      <c r="L55" s="267" t="n">
        <v>1083.62009173964</v>
      </c>
      <c r="M55" s="267" t="n">
        <v>1120.14173612896</v>
      </c>
      <c r="N55" s="13" t="n">
        <v>68</v>
      </c>
      <c r="O55" s="13" t="n">
        <v>35</v>
      </c>
      <c r="P55" s="13" t="n">
        <v>60</v>
      </c>
    </row>
    <row r="56" customFormat="false" ht="23.85" hidden="false" customHeight="false" outlineLevel="0" collapsed="false">
      <c r="A56" s="13" t="s">
        <v>973</v>
      </c>
      <c r="B56" s="20" t="s">
        <v>1351</v>
      </c>
      <c r="C56" s="256" t="n">
        <v>43204</v>
      </c>
      <c r="D56" s="257" t="n">
        <v>39.962215</v>
      </c>
      <c r="E56" s="257" t="n">
        <v>-83.07883</v>
      </c>
      <c r="F56" s="267" t="n">
        <v>6623.92213108468</v>
      </c>
      <c r="G56" s="267" t="n">
        <v>9560.43</v>
      </c>
      <c r="H56" s="257" t="s">
        <v>1312</v>
      </c>
      <c r="I56" s="257" t="s">
        <v>1352</v>
      </c>
      <c r="J56" s="257" t="s">
        <v>1289</v>
      </c>
      <c r="K56" s="267" t="n">
        <v>3559.67575848969</v>
      </c>
      <c r="L56" s="267" t="n">
        <v>690.529616799141</v>
      </c>
      <c r="M56" s="267" t="n">
        <v>333.715273775688</v>
      </c>
      <c r="N56" s="13" t="n">
        <v>54</v>
      </c>
      <c r="O56" s="13" t="n">
        <v>32</v>
      </c>
      <c r="P56" s="13" t="n">
        <v>66</v>
      </c>
      <c r="AA56" s="50" t="s">
        <v>1353</v>
      </c>
    </row>
    <row r="57" customFormat="false" ht="23.85" hidden="false" customHeight="false" outlineLevel="0" collapsed="false">
      <c r="A57" s="13" t="s">
        <v>975</v>
      </c>
      <c r="B57" s="20" t="s">
        <v>1354</v>
      </c>
      <c r="C57" s="256" t="n">
        <v>43123</v>
      </c>
      <c r="D57" s="257" t="n">
        <v>39.878006</v>
      </c>
      <c r="E57" s="257" t="n">
        <v>-83.08881</v>
      </c>
      <c r="F57" s="267" t="n">
        <v>14362.8750358788</v>
      </c>
      <c r="G57" s="267" t="n">
        <v>24599.79</v>
      </c>
      <c r="H57" s="257" t="s">
        <v>1282</v>
      </c>
      <c r="I57" s="257" t="s">
        <v>1298</v>
      </c>
      <c r="J57" s="257" t="s">
        <v>1289</v>
      </c>
      <c r="K57" s="267" t="n">
        <v>8464.65219253145</v>
      </c>
      <c r="L57" s="267" t="n">
        <v>340.463045350479</v>
      </c>
      <c r="M57" s="267" t="n">
        <v>372.466826382116</v>
      </c>
      <c r="N57" s="13" t="n">
        <v>25</v>
      </c>
      <c r="O57" s="13" t="n">
        <v>32</v>
      </c>
      <c r="P57" s="13" t="n">
        <v>31</v>
      </c>
      <c r="AA57" s="50" t="s">
        <v>1355</v>
      </c>
    </row>
    <row r="58" customFormat="false" ht="23.85" hidden="false" customHeight="false" outlineLevel="0" collapsed="false">
      <c r="A58" s="13" t="s">
        <v>981</v>
      </c>
      <c r="B58" s="20" t="s">
        <v>862</v>
      </c>
      <c r="C58" s="256" t="n">
        <v>43235</v>
      </c>
      <c r="D58" s="257" t="n">
        <v>40.111164</v>
      </c>
      <c r="E58" s="257" t="n">
        <v>-83.0654</v>
      </c>
      <c r="F58" s="267" t="n">
        <v>19588.6223494682</v>
      </c>
      <c r="G58" s="267" t="n">
        <v>19588.6223494682</v>
      </c>
      <c r="H58" s="257" t="s">
        <v>1282</v>
      </c>
      <c r="I58" s="257" t="s">
        <v>1277</v>
      </c>
      <c r="J58" s="257" t="s">
        <v>1278</v>
      </c>
      <c r="K58" s="267" t="n">
        <v>159.15655364366</v>
      </c>
      <c r="L58" s="267" t="n">
        <v>3257.57883874339</v>
      </c>
      <c r="M58" s="267" t="n">
        <v>2619.34991022664</v>
      </c>
      <c r="N58" s="13" t="n">
        <v>42</v>
      </c>
      <c r="O58" s="13" t="n">
        <v>9</v>
      </c>
      <c r="P58" s="13" t="n">
        <v>26</v>
      </c>
      <c r="AA58" s="50" t="s">
        <v>1283</v>
      </c>
    </row>
    <row r="59" customFormat="false" ht="23.85" hidden="false" customHeight="false" outlineLevel="0" collapsed="false">
      <c r="A59" s="13" t="s">
        <v>983</v>
      </c>
      <c r="B59" s="20" t="s">
        <v>862</v>
      </c>
      <c r="C59" s="256" t="n">
        <v>43235</v>
      </c>
      <c r="D59" s="257" t="n">
        <v>40.111164</v>
      </c>
      <c r="E59" s="257" t="n">
        <v>-83.0654</v>
      </c>
      <c r="F59" s="267" t="n">
        <v>19588.6223494682</v>
      </c>
      <c r="G59" s="267" t="n">
        <v>19588.6223494682</v>
      </c>
      <c r="H59" s="257" t="s">
        <v>1282</v>
      </c>
      <c r="I59" s="257" t="s">
        <v>1277</v>
      </c>
      <c r="J59" s="257" t="s">
        <v>1278</v>
      </c>
      <c r="K59" s="267" t="n">
        <v>159.15655364366</v>
      </c>
      <c r="L59" s="267" t="n">
        <v>3257.57883874339</v>
      </c>
      <c r="M59" s="267" t="n">
        <v>2619.34991022664</v>
      </c>
      <c r="N59" s="13" t="n">
        <v>42</v>
      </c>
      <c r="O59" s="13" t="n">
        <v>9</v>
      </c>
      <c r="P59" s="13" t="n">
        <v>26</v>
      </c>
      <c r="AA59" s="50" t="s">
        <v>1283</v>
      </c>
    </row>
    <row r="60" customFormat="false" ht="23.85" hidden="false" customHeight="false" outlineLevel="0" collapsed="false">
      <c r="A60" s="271" t="s">
        <v>985</v>
      </c>
      <c r="B60" s="20" t="s">
        <v>559</v>
      </c>
      <c r="C60" s="256" t="n">
        <v>43222</v>
      </c>
      <c r="D60" s="94" t="n">
        <v>39.9589</v>
      </c>
      <c r="E60" s="94" t="n">
        <v>-83.02436</v>
      </c>
      <c r="F60" s="267"/>
      <c r="G60" s="267"/>
      <c r="H60" s="257"/>
      <c r="I60" s="257"/>
      <c r="J60" s="257"/>
      <c r="K60" s="267"/>
      <c r="L60" s="267"/>
      <c r="M60" s="267"/>
      <c r="N60" s="13" t="n">
        <v>67</v>
      </c>
      <c r="O60" s="13" t="n">
        <v>45</v>
      </c>
      <c r="P60" s="13" t="n">
        <v>65</v>
      </c>
      <c r="Q60" s="13" t="n">
        <v>0.23</v>
      </c>
      <c r="R60" s="13" t="n">
        <v>1</v>
      </c>
      <c r="S60" s="13" t="n">
        <v>1950</v>
      </c>
      <c r="T60" s="272"/>
      <c r="U60" s="272"/>
      <c r="V60" s="271"/>
      <c r="W60" s="13" t="s">
        <v>1356</v>
      </c>
      <c r="X60" s="273"/>
      <c r="Y60" s="271"/>
      <c r="Z60" s="271"/>
      <c r="AA60" s="50" t="s">
        <v>1342</v>
      </c>
    </row>
    <row r="61" customFormat="false" ht="23.85" hidden="false" customHeight="false" outlineLevel="0" collapsed="false">
      <c r="A61" s="13" t="s">
        <v>986</v>
      </c>
      <c r="B61" s="20" t="s">
        <v>862</v>
      </c>
      <c r="C61" s="256" t="n">
        <v>43235</v>
      </c>
      <c r="D61" s="257" t="n">
        <v>40.111164</v>
      </c>
      <c r="E61" s="257" t="n">
        <v>-83.0654</v>
      </c>
      <c r="F61" s="267" t="n">
        <v>19588.6223494682</v>
      </c>
      <c r="G61" s="267" t="n">
        <v>19588.6223494682</v>
      </c>
      <c r="H61" s="257" t="s">
        <v>1282</v>
      </c>
      <c r="I61" s="257" t="s">
        <v>1277</v>
      </c>
      <c r="J61" s="257" t="s">
        <v>1278</v>
      </c>
      <c r="K61" s="267" t="n">
        <v>159.15655364366</v>
      </c>
      <c r="L61" s="267" t="n">
        <v>3257.57883874339</v>
      </c>
      <c r="M61" s="267" t="n">
        <v>2619.34991022664</v>
      </c>
      <c r="N61" s="13" t="n">
        <v>42</v>
      </c>
      <c r="O61" s="13" t="n">
        <v>9</v>
      </c>
      <c r="P61" s="13" t="n">
        <v>26</v>
      </c>
      <c r="AA61" s="50" t="s">
        <v>1283</v>
      </c>
    </row>
    <row r="62" s="67" customFormat="true" ht="23.85" hidden="false" customHeight="false" outlineLevel="0" collapsed="false">
      <c r="A62" s="67" t="s">
        <v>988</v>
      </c>
      <c r="B62" s="45" t="s">
        <v>471</v>
      </c>
      <c r="C62" s="274" t="n">
        <v>43203</v>
      </c>
      <c r="D62" s="275" t="n">
        <v>39.96468</v>
      </c>
      <c r="E62" s="275" t="n">
        <v>-82.95144</v>
      </c>
      <c r="F62" s="276"/>
      <c r="G62" s="276"/>
      <c r="H62" s="275"/>
      <c r="I62" s="275"/>
      <c r="J62" s="275"/>
      <c r="K62" s="276"/>
      <c r="L62" s="276"/>
      <c r="M62" s="276"/>
      <c r="N62" s="67" t="n">
        <v>28</v>
      </c>
      <c r="O62" s="67" t="n">
        <v>45</v>
      </c>
      <c r="P62" s="67" t="n">
        <v>65</v>
      </c>
      <c r="Q62" s="277"/>
      <c r="R62" s="277"/>
      <c r="S62" s="277"/>
      <c r="T62" s="277"/>
      <c r="U62" s="277"/>
      <c r="V62" s="277"/>
      <c r="W62" s="67" t="s">
        <v>1357</v>
      </c>
      <c r="AA62" s="278" t="s">
        <v>1325</v>
      </c>
    </row>
    <row r="63" customFormat="false" ht="23.85" hidden="false" customHeight="false" outlineLevel="0" collapsed="false">
      <c r="A63" s="13" t="s">
        <v>992</v>
      </c>
      <c r="B63" s="20" t="s">
        <v>862</v>
      </c>
      <c r="C63" s="256" t="n">
        <v>43235</v>
      </c>
      <c r="D63" s="257" t="n">
        <v>40.111164</v>
      </c>
      <c r="E63" s="257" t="n">
        <v>-83.0654</v>
      </c>
      <c r="F63" s="267" t="n">
        <v>19588.6223494682</v>
      </c>
      <c r="G63" s="267" t="n">
        <v>19588.6223494682</v>
      </c>
      <c r="H63" s="257" t="s">
        <v>1282</v>
      </c>
      <c r="I63" s="257" t="s">
        <v>1277</v>
      </c>
      <c r="J63" s="257" t="s">
        <v>1278</v>
      </c>
      <c r="K63" s="267" t="n">
        <v>159.15655364366</v>
      </c>
      <c r="L63" s="267" t="n">
        <v>3257.57883874339</v>
      </c>
      <c r="M63" s="267" t="n">
        <v>2619.34991022664</v>
      </c>
      <c r="N63" s="13" t="n">
        <v>42</v>
      </c>
      <c r="O63" s="13" t="n">
        <v>9</v>
      </c>
      <c r="P63" s="13" t="n">
        <v>26</v>
      </c>
      <c r="AA63" s="50" t="s">
        <v>1283</v>
      </c>
    </row>
    <row r="64" customFormat="false" ht="23.85" hidden="false" customHeight="false" outlineLevel="0" collapsed="false">
      <c r="A64" s="13" t="s">
        <v>994</v>
      </c>
      <c r="B64" s="20" t="s">
        <v>471</v>
      </c>
      <c r="C64" s="256" t="n">
        <v>43203</v>
      </c>
      <c r="D64" s="257" t="n">
        <v>39.96468</v>
      </c>
      <c r="E64" s="257" t="n">
        <v>-82.95144</v>
      </c>
      <c r="F64" s="267"/>
      <c r="G64" s="267"/>
      <c r="H64" s="257"/>
      <c r="I64" s="257"/>
      <c r="J64" s="257"/>
      <c r="K64" s="267"/>
      <c r="L64" s="267"/>
      <c r="M64" s="267"/>
      <c r="N64" s="13" t="n">
        <v>28</v>
      </c>
      <c r="O64" s="13" t="n">
        <v>45</v>
      </c>
      <c r="P64" s="13" t="n">
        <v>65</v>
      </c>
      <c r="W64" s="13" t="s">
        <v>1357</v>
      </c>
      <c r="AA64" s="50" t="s">
        <v>1325</v>
      </c>
    </row>
    <row r="65" customFormat="false" ht="23.85" hidden="false" customHeight="false" outlineLevel="0" collapsed="false">
      <c r="A65" s="13" t="s">
        <v>995</v>
      </c>
      <c r="B65" s="20" t="s">
        <v>862</v>
      </c>
      <c r="C65" s="256" t="n">
        <v>43235</v>
      </c>
      <c r="D65" s="257" t="n">
        <v>40.111164</v>
      </c>
      <c r="E65" s="257" t="n">
        <v>-83.0654</v>
      </c>
      <c r="F65" s="267" t="n">
        <v>19588.6223494682</v>
      </c>
      <c r="G65" s="267" t="n">
        <v>19588.6223494682</v>
      </c>
      <c r="H65" s="257" t="s">
        <v>1282</v>
      </c>
      <c r="I65" s="257" t="s">
        <v>1277</v>
      </c>
      <c r="J65" s="257" t="s">
        <v>1278</v>
      </c>
      <c r="K65" s="267" t="n">
        <v>159.15655364366</v>
      </c>
      <c r="L65" s="267" t="n">
        <v>3257.57883874339</v>
      </c>
      <c r="M65" s="267" t="n">
        <v>2619.34991022664</v>
      </c>
      <c r="N65" s="13" t="n">
        <v>42</v>
      </c>
      <c r="O65" s="13" t="n">
        <v>9</v>
      </c>
      <c r="P65" s="13" t="n">
        <v>26</v>
      </c>
      <c r="AA65" s="50" t="s">
        <v>1283</v>
      </c>
    </row>
    <row r="66" customFormat="false" ht="12.75" hidden="false" customHeight="false" outlineLevel="0" collapsed="false">
      <c r="A66" s="13" t="s">
        <v>997</v>
      </c>
      <c r="B66" s="20" t="s">
        <v>614</v>
      </c>
      <c r="C66" s="256" t="n">
        <v>43207</v>
      </c>
      <c r="D66" s="257" t="n">
        <v>39.9318</v>
      </c>
      <c r="E66" s="257" t="n">
        <v>-82.97672</v>
      </c>
      <c r="F66" s="267"/>
      <c r="G66" s="267"/>
      <c r="H66" s="257"/>
      <c r="I66" s="257"/>
      <c r="J66" s="257"/>
      <c r="K66" s="267"/>
      <c r="L66" s="267"/>
      <c r="M66" s="267"/>
      <c r="N66" s="13" t="n">
        <v>49</v>
      </c>
      <c r="O66" s="13" t="n">
        <v>40</v>
      </c>
      <c r="P66" s="13" t="n">
        <v>56</v>
      </c>
    </row>
    <row r="67" customFormat="false" ht="23.85" hidden="false" customHeight="false" outlineLevel="0" collapsed="false">
      <c r="A67" s="13" t="s">
        <v>999</v>
      </c>
      <c r="B67" s="20" t="s">
        <v>862</v>
      </c>
      <c r="C67" s="256" t="n">
        <v>43235</v>
      </c>
      <c r="D67" s="257" t="n">
        <v>40.111164</v>
      </c>
      <c r="E67" s="257" t="n">
        <v>-83.0654</v>
      </c>
      <c r="F67" s="267" t="n">
        <v>19588.6223494682</v>
      </c>
      <c r="G67" s="267" t="n">
        <v>19588.6223494682</v>
      </c>
      <c r="H67" s="257" t="s">
        <v>1282</v>
      </c>
      <c r="I67" s="257" t="s">
        <v>1277</v>
      </c>
      <c r="J67" s="257" t="s">
        <v>1278</v>
      </c>
      <c r="K67" s="267" t="n">
        <v>159.15655364366</v>
      </c>
      <c r="L67" s="267" t="n">
        <v>3257.57883874339</v>
      </c>
      <c r="M67" s="267" t="n">
        <v>2619.34991022664</v>
      </c>
      <c r="N67" s="13" t="n">
        <v>42</v>
      </c>
      <c r="O67" s="13" t="n">
        <v>9</v>
      </c>
      <c r="P67" s="13" t="n">
        <v>26</v>
      </c>
      <c r="AA67" s="50" t="s">
        <v>1283</v>
      </c>
    </row>
    <row r="68" customFormat="false" ht="35.05" hidden="false" customHeight="false" outlineLevel="0" collapsed="false">
      <c r="A68" s="13" t="s">
        <v>1001</v>
      </c>
      <c r="B68" s="13" t="s">
        <v>1002</v>
      </c>
      <c r="C68" s="256" t="n">
        <v>43205</v>
      </c>
      <c r="D68" s="257" t="n">
        <v>39.9513887589298</v>
      </c>
      <c r="E68" s="257" t="n">
        <v>-82.9489578020785</v>
      </c>
      <c r="F68" s="267"/>
      <c r="G68" s="267"/>
      <c r="H68" s="257" t="s">
        <v>1288</v>
      </c>
      <c r="I68" s="257" t="s">
        <v>1277</v>
      </c>
      <c r="J68" s="257" t="s">
        <v>1289</v>
      </c>
      <c r="K68" s="267" t="n">
        <v>555.7</v>
      </c>
      <c r="L68" s="267" t="n">
        <v>1010.7</v>
      </c>
      <c r="M68" s="267"/>
      <c r="N68" s="13" t="n">
        <v>65</v>
      </c>
      <c r="O68" s="13" t="n">
        <v>41</v>
      </c>
      <c r="P68" s="13" t="n">
        <v>54</v>
      </c>
      <c r="S68" s="13" t="n">
        <v>1941</v>
      </c>
      <c r="X68" s="13" t="n">
        <v>3</v>
      </c>
      <c r="Y68" s="13" t="s">
        <v>1358</v>
      </c>
      <c r="AA68" s="50" t="s">
        <v>1359</v>
      </c>
    </row>
    <row r="69" customFormat="false" ht="23.85" hidden="false" customHeight="false" outlineLevel="0" collapsed="false">
      <c r="A69" s="13" t="s">
        <v>1004</v>
      </c>
      <c r="B69" s="20" t="s">
        <v>862</v>
      </c>
      <c r="C69" s="256" t="n">
        <v>43235</v>
      </c>
      <c r="D69" s="257" t="n">
        <v>40.111164</v>
      </c>
      <c r="E69" s="257" t="n">
        <v>-83.0654</v>
      </c>
      <c r="F69" s="267" t="n">
        <v>19588.6223494682</v>
      </c>
      <c r="G69" s="267" t="n">
        <v>19588.6223494682</v>
      </c>
      <c r="H69" s="257" t="s">
        <v>1282</v>
      </c>
      <c r="I69" s="257" t="s">
        <v>1277</v>
      </c>
      <c r="J69" s="257" t="s">
        <v>1278</v>
      </c>
      <c r="K69" s="267" t="n">
        <v>159.15655364366</v>
      </c>
      <c r="L69" s="267" t="n">
        <v>3257.57883874339</v>
      </c>
      <c r="M69" s="267" t="n">
        <v>2619.34991022664</v>
      </c>
      <c r="N69" s="13" t="n">
        <v>42</v>
      </c>
      <c r="O69" s="13" t="n">
        <v>9</v>
      </c>
      <c r="P69" s="13" t="n">
        <v>26</v>
      </c>
      <c r="AA69" s="50" t="s">
        <v>1283</v>
      </c>
    </row>
    <row r="70" s="67" customFormat="true" ht="53.25" hidden="false" customHeight="true" outlineLevel="0" collapsed="false">
      <c r="A70" s="67" t="s">
        <v>1006</v>
      </c>
      <c r="B70" s="13" t="s">
        <v>627</v>
      </c>
      <c r="C70" s="13" t="n">
        <v>43123</v>
      </c>
      <c r="D70" s="13" t="n">
        <v>39.84287</v>
      </c>
      <c r="E70" s="66" t="n">
        <v>-83.020377</v>
      </c>
      <c r="F70" s="279"/>
      <c r="G70" s="279"/>
      <c r="H70" s="13" t="s">
        <v>1288</v>
      </c>
      <c r="I70" s="13" t="s">
        <v>1277</v>
      </c>
      <c r="J70" s="13" t="s">
        <v>1289</v>
      </c>
      <c r="X70" s="13" t="n">
        <v>1</v>
      </c>
      <c r="Y70" s="50" t="s">
        <v>1360</v>
      </c>
      <c r="AA70" s="66" t="s">
        <v>1361</v>
      </c>
    </row>
    <row r="71" s="67" customFormat="true" ht="23.85" hidden="false" customHeight="false" outlineLevel="0" collapsed="false">
      <c r="A71" s="13" t="s">
        <v>1007</v>
      </c>
      <c r="B71" s="13" t="s">
        <v>862</v>
      </c>
      <c r="C71" s="256" t="n">
        <v>43235</v>
      </c>
      <c r="D71" s="257" t="n">
        <v>40.111164</v>
      </c>
      <c r="E71" s="257" t="n">
        <v>-83.0654</v>
      </c>
      <c r="F71" s="280" t="n">
        <v>19588.62</v>
      </c>
      <c r="G71" s="280" t="n">
        <v>19588.62</v>
      </c>
      <c r="H71" s="13" t="s">
        <v>1282</v>
      </c>
      <c r="I71" s="13" t="s">
        <v>1277</v>
      </c>
      <c r="J71" s="13" t="s">
        <v>1278</v>
      </c>
      <c r="K71" s="13" t="n">
        <v>159.16</v>
      </c>
      <c r="L71" s="281" t="n">
        <v>3257.58</v>
      </c>
      <c r="M71" s="281" t="n">
        <v>2619.35</v>
      </c>
      <c r="N71" s="13" t="n">
        <v>42</v>
      </c>
      <c r="O71" s="13" t="n">
        <v>9</v>
      </c>
      <c r="P71" s="13" t="n">
        <v>26</v>
      </c>
      <c r="X71" s="13"/>
      <c r="Y71" s="13"/>
      <c r="AA71" s="50" t="s">
        <v>1283</v>
      </c>
    </row>
    <row r="72" s="67" customFormat="true" ht="31.3" hidden="false" customHeight="false" outlineLevel="0" collapsed="false">
      <c r="A72" s="67" t="s">
        <v>1009</v>
      </c>
      <c r="B72" s="13" t="s">
        <v>633</v>
      </c>
      <c r="C72" s="256" t="n">
        <v>43026</v>
      </c>
      <c r="D72" s="257" t="n">
        <v>40.024674</v>
      </c>
      <c r="E72" s="66" t="n">
        <v>-83.139427</v>
      </c>
      <c r="F72" s="279"/>
      <c r="G72" s="279"/>
      <c r="H72" s="13" t="s">
        <v>1288</v>
      </c>
      <c r="I72" s="13" t="s">
        <v>1277</v>
      </c>
      <c r="J72" s="13" t="s">
        <v>1289</v>
      </c>
      <c r="N72" s="13" t="n">
        <v>45</v>
      </c>
      <c r="O72" s="13" t="n">
        <v>45</v>
      </c>
      <c r="P72" s="13" t="n">
        <v>44</v>
      </c>
      <c r="X72" s="13" t="n">
        <v>1</v>
      </c>
      <c r="Y72" s="50" t="s">
        <v>1358</v>
      </c>
      <c r="AA72" s="282" t="s">
        <v>1362</v>
      </c>
    </row>
    <row r="73" customFormat="false" ht="12.75" hidden="false" customHeight="false" outlineLevel="0" collapsed="false">
      <c r="A73" s="13" t="s">
        <v>1011</v>
      </c>
      <c r="B73" s="20" t="s">
        <v>862</v>
      </c>
      <c r="C73" s="256" t="n">
        <v>43235</v>
      </c>
      <c r="D73" s="257" t="n">
        <v>40.111164</v>
      </c>
      <c r="E73" s="257" t="n">
        <v>-83.0654</v>
      </c>
      <c r="F73" s="267" t="n">
        <v>19588.6223494682</v>
      </c>
      <c r="G73" s="267" t="n">
        <v>19588.6223494682</v>
      </c>
      <c r="H73" s="257" t="s">
        <v>1282</v>
      </c>
      <c r="I73" s="257" t="s">
        <v>1277</v>
      </c>
      <c r="J73" s="257" t="s">
        <v>1278</v>
      </c>
    </row>
    <row r="74" customFormat="false" ht="12.75" hidden="false" customHeight="false" outlineLevel="0" collapsed="false">
      <c r="A74" s="13" t="s">
        <v>1013</v>
      </c>
      <c r="B74" s="20" t="s">
        <v>1014</v>
      </c>
      <c r="C74" s="256" t="n">
        <v>43212</v>
      </c>
      <c r="D74" s="257" t="n">
        <v>39.982983</v>
      </c>
      <c r="E74" s="257" t="n">
        <v>-83.05434</v>
      </c>
      <c r="F74" s="267" t="n">
        <v>5214.43078408102</v>
      </c>
      <c r="G74" s="267" t="n">
        <v>9271.78</v>
      </c>
      <c r="H74" s="257" t="s">
        <v>1288</v>
      </c>
      <c r="I74" s="257" t="s">
        <v>1298</v>
      </c>
      <c r="J74" s="257" t="s">
        <v>1289</v>
      </c>
      <c r="K74" s="267" t="n">
        <v>5113.764422699</v>
      </c>
      <c r="L74" s="267" t="n">
        <v>1571.07486670093</v>
      </c>
      <c r="M74" s="267" t="n">
        <v>1525.37675149424</v>
      </c>
      <c r="N74" s="13" t="n">
        <v>65</v>
      </c>
      <c r="O74" s="13" t="s">
        <v>1331</v>
      </c>
      <c r="P74" s="13" t="n">
        <v>61</v>
      </c>
      <c r="AA74" s="50" t="s">
        <v>1338</v>
      </c>
    </row>
    <row r="75" customFormat="false" ht="12.75" hidden="false" customHeight="false" outlineLevel="0" collapsed="false">
      <c r="A75" s="13" t="s">
        <v>1016</v>
      </c>
      <c r="B75" s="20" t="s">
        <v>862</v>
      </c>
      <c r="C75" s="256" t="n">
        <v>43235</v>
      </c>
      <c r="D75" s="257" t="n">
        <v>40.111164</v>
      </c>
      <c r="E75" s="257" t="n">
        <v>-83.0654</v>
      </c>
      <c r="F75" s="267" t="n">
        <v>19588.6223494682</v>
      </c>
      <c r="G75" s="267" t="n">
        <v>19588.6223494682</v>
      </c>
      <c r="H75" s="257" t="s">
        <v>1282</v>
      </c>
      <c r="I75" s="257" t="s">
        <v>1277</v>
      </c>
      <c r="J75" s="257" t="s">
        <v>1278</v>
      </c>
    </row>
    <row r="76" s="67" customFormat="true" ht="13.8" hidden="false" customHeight="false" outlineLevel="0" collapsed="false">
      <c r="A76" s="67" t="s">
        <v>1018</v>
      </c>
      <c r="B76" s="20" t="s">
        <v>1019</v>
      </c>
      <c r="C76" s="256" t="n">
        <v>43123</v>
      </c>
      <c r="D76" s="257" t="n">
        <v>39.8980259923898</v>
      </c>
      <c r="E76" s="283" t="n">
        <v>-83.0627518669186</v>
      </c>
      <c r="F76" s="284"/>
      <c r="G76" s="284"/>
      <c r="H76" s="257" t="s">
        <v>1288</v>
      </c>
      <c r="I76" s="275"/>
      <c r="J76" s="257" t="s">
        <v>1289</v>
      </c>
      <c r="AA76" s="278"/>
    </row>
    <row r="77" customFormat="false" ht="12.75" hidden="false" customHeight="false" outlineLevel="0" collapsed="false">
      <c r="A77" s="13" t="s">
        <v>241</v>
      </c>
      <c r="B77" s="20" t="s">
        <v>862</v>
      </c>
      <c r="C77" s="256" t="n">
        <v>43235</v>
      </c>
      <c r="D77" s="257" t="n">
        <v>40.111164</v>
      </c>
      <c r="E77" s="257" t="n">
        <v>-83.0654</v>
      </c>
      <c r="F77" s="284" t="n">
        <v>19588.6223494682</v>
      </c>
      <c r="G77" s="284" t="n">
        <v>19588.6223494682</v>
      </c>
      <c r="H77" s="257" t="s">
        <v>1282</v>
      </c>
      <c r="I77" s="257" t="s">
        <v>1277</v>
      </c>
      <c r="J77" s="257" t="s">
        <v>1278</v>
      </c>
    </row>
    <row r="78" s="67" customFormat="true" ht="12.75" hidden="false" customHeight="false" outlineLevel="0" collapsed="false">
      <c r="A78" s="67" t="s">
        <v>1024</v>
      </c>
      <c r="B78" s="20" t="s">
        <v>1025</v>
      </c>
      <c r="C78" s="256" t="n">
        <v>43214</v>
      </c>
      <c r="D78" s="257" t="n">
        <v>40.03327</v>
      </c>
      <c r="E78" s="257" t="n">
        <v>-83.03867</v>
      </c>
      <c r="F78" s="284"/>
      <c r="G78" s="284"/>
      <c r="H78" s="257" t="s">
        <v>1288</v>
      </c>
      <c r="I78" s="275"/>
      <c r="J78" s="257" t="s">
        <v>1289</v>
      </c>
      <c r="AA78" s="278"/>
    </row>
    <row r="79" customFormat="false" ht="12.75" hidden="false" customHeight="false" outlineLevel="0" collapsed="false">
      <c r="A79" s="13" t="s">
        <v>245</v>
      </c>
      <c r="B79" s="20" t="s">
        <v>862</v>
      </c>
      <c r="C79" s="256" t="n">
        <v>43235</v>
      </c>
      <c r="D79" s="257" t="n">
        <v>40.111164</v>
      </c>
      <c r="E79" s="257" t="n">
        <v>-83.0654</v>
      </c>
      <c r="F79" s="284" t="n">
        <v>19588.6223494682</v>
      </c>
      <c r="G79" s="284" t="n">
        <v>19588.6223494682</v>
      </c>
      <c r="H79" s="257" t="s">
        <v>1282</v>
      </c>
      <c r="I79" s="257" t="s">
        <v>1277</v>
      </c>
      <c r="J79" s="257" t="s">
        <v>1278</v>
      </c>
    </row>
    <row r="80" s="67" customFormat="true" ht="12.75" hidden="false" customHeight="false" outlineLevel="0" collapsed="false">
      <c r="A80" s="67" t="s">
        <v>1028</v>
      </c>
      <c r="B80" s="20" t="s">
        <v>1029</v>
      </c>
      <c r="C80" s="256" t="n">
        <v>43224</v>
      </c>
      <c r="D80" s="2" t="n">
        <v>40.02455</v>
      </c>
      <c r="E80" s="2" t="n">
        <v>-82.96616</v>
      </c>
      <c r="F80" s="284"/>
      <c r="G80" s="284"/>
      <c r="H80" s="257" t="s">
        <v>1288</v>
      </c>
      <c r="I80" s="275"/>
      <c r="J80" s="257" t="s">
        <v>1289</v>
      </c>
      <c r="AA80" s="278"/>
    </row>
    <row r="81" customFormat="false" ht="12.75" hidden="false" customHeight="false" outlineLevel="0" collapsed="false">
      <c r="A81" s="13" t="s">
        <v>249</v>
      </c>
      <c r="B81" s="20" t="s">
        <v>862</v>
      </c>
      <c r="C81" s="256" t="n">
        <v>43235</v>
      </c>
      <c r="D81" s="257" t="n">
        <v>40.111164</v>
      </c>
      <c r="E81" s="257" t="n">
        <v>-83.0654</v>
      </c>
      <c r="F81" s="284" t="n">
        <v>19588.6223494682</v>
      </c>
      <c r="G81" s="284" t="n">
        <v>19588.6223494682</v>
      </c>
      <c r="H81" s="257" t="s">
        <v>1282</v>
      </c>
      <c r="I81" s="257" t="s">
        <v>1277</v>
      </c>
      <c r="J81" s="257" t="s">
        <v>1278</v>
      </c>
    </row>
    <row r="82" s="67" customFormat="true" ht="12.75" hidden="false" customHeight="false" outlineLevel="0" collapsed="false">
      <c r="A82" s="67" t="s">
        <v>1036</v>
      </c>
      <c r="B82" s="20" t="s">
        <v>1152</v>
      </c>
      <c r="C82" s="256" t="n">
        <v>43081</v>
      </c>
      <c r="D82" s="257" t="n">
        <v>40.11601</v>
      </c>
      <c r="E82" s="257" t="n">
        <v>-82.93135</v>
      </c>
      <c r="F82" s="284"/>
      <c r="G82" s="284"/>
      <c r="H82" s="257" t="s">
        <v>1288</v>
      </c>
      <c r="I82" s="275"/>
      <c r="J82" s="257" t="s">
        <v>1289</v>
      </c>
      <c r="AA82" s="278"/>
    </row>
    <row r="83" customFormat="false" ht="12.75" hidden="false" customHeight="false" outlineLevel="0" collapsed="false">
      <c r="A83" s="13" t="s">
        <v>253</v>
      </c>
      <c r="B83" s="20" t="s">
        <v>862</v>
      </c>
      <c r="C83" s="256" t="n">
        <v>43235</v>
      </c>
      <c r="D83" s="257" t="n">
        <v>40.111164</v>
      </c>
      <c r="E83" s="257" t="n">
        <v>-83.0654</v>
      </c>
      <c r="F83" s="284" t="n">
        <v>19588.6223494682</v>
      </c>
      <c r="G83" s="284" t="n">
        <v>19588.6223494682</v>
      </c>
      <c r="H83" s="257" t="s">
        <v>1282</v>
      </c>
      <c r="I83" s="257" t="s">
        <v>1277</v>
      </c>
      <c r="J83" s="257" t="s">
        <v>1278</v>
      </c>
    </row>
    <row r="84" s="67" customFormat="true" ht="12.75" hidden="false" customHeight="false" outlineLevel="0" collapsed="false">
      <c r="A84" s="13" t="s">
        <v>1039</v>
      </c>
      <c r="B84" s="20" t="s">
        <v>665</v>
      </c>
      <c r="C84" s="256" t="n">
        <v>43224</v>
      </c>
      <c r="D84" s="275"/>
      <c r="E84" s="275"/>
      <c r="F84" s="284"/>
      <c r="G84" s="284"/>
      <c r="H84" s="257" t="s">
        <v>1288</v>
      </c>
      <c r="I84" s="275"/>
      <c r="J84" s="257" t="s">
        <v>1289</v>
      </c>
      <c r="AA84" s="278"/>
    </row>
    <row r="85" customFormat="false" ht="12.75" hidden="false" customHeight="false" outlineLevel="0" collapsed="false">
      <c r="A85" s="13" t="s">
        <v>256</v>
      </c>
      <c r="B85" s="20" t="s">
        <v>862</v>
      </c>
      <c r="C85" s="256" t="n">
        <v>43235</v>
      </c>
      <c r="D85" s="257" t="n">
        <v>40.111164</v>
      </c>
      <c r="E85" s="257" t="n">
        <v>-83.0654</v>
      </c>
      <c r="F85" s="284" t="n">
        <v>19588.6223494682</v>
      </c>
      <c r="G85" s="284" t="n">
        <v>19588.6223494682</v>
      </c>
      <c r="H85" s="257" t="s">
        <v>1282</v>
      </c>
      <c r="I85" s="257" t="s">
        <v>1277</v>
      </c>
      <c r="J85" s="257" t="s">
        <v>1278</v>
      </c>
    </row>
    <row r="86" s="67" customFormat="true" ht="12.75" hidden="false" customHeight="false" outlineLevel="0" collapsed="false">
      <c r="A86" s="67" t="s">
        <v>1042</v>
      </c>
      <c r="B86" s="3" t="s">
        <v>671</v>
      </c>
      <c r="C86" s="256" t="n">
        <v>43235</v>
      </c>
      <c r="D86" s="275"/>
      <c r="E86" s="275"/>
      <c r="F86" s="284"/>
      <c r="G86" s="284"/>
      <c r="H86" s="257" t="s">
        <v>1288</v>
      </c>
      <c r="I86" s="275"/>
      <c r="J86" s="257" t="s">
        <v>1289</v>
      </c>
      <c r="AA86" s="278"/>
    </row>
    <row r="87" customFormat="false" ht="12.75" hidden="false" customHeight="false" outlineLevel="0" collapsed="false">
      <c r="A87" s="13" t="s">
        <v>259</v>
      </c>
      <c r="B87" s="20" t="s">
        <v>862</v>
      </c>
      <c r="C87" s="256" t="n">
        <v>43235</v>
      </c>
      <c r="D87" s="257" t="n">
        <v>40.111164</v>
      </c>
      <c r="E87" s="257" t="n">
        <v>-83.0654</v>
      </c>
      <c r="F87" s="284" t="n">
        <v>19588.6223494682</v>
      </c>
      <c r="G87" s="284" t="n">
        <v>19588.6223494682</v>
      </c>
      <c r="H87" s="257" t="s">
        <v>1282</v>
      </c>
      <c r="I87" s="257" t="s">
        <v>1277</v>
      </c>
      <c r="J87" s="257" t="s">
        <v>1278</v>
      </c>
    </row>
    <row r="88" s="67" customFormat="true" ht="12.75" hidden="false" customHeight="false" outlineLevel="0" collapsed="false">
      <c r="A88" s="67" t="s">
        <v>1045</v>
      </c>
      <c r="B88" s="3" t="s">
        <v>1046</v>
      </c>
      <c r="C88" s="256" t="n">
        <v>43228</v>
      </c>
      <c r="D88" s="275"/>
      <c r="E88" s="275"/>
      <c r="F88" s="284"/>
      <c r="G88" s="284"/>
      <c r="H88" s="257" t="s">
        <v>1288</v>
      </c>
      <c r="I88" s="275"/>
      <c r="J88" s="257" t="s">
        <v>1289</v>
      </c>
      <c r="AA88" s="278"/>
    </row>
    <row r="89" s="67" customFormat="true" ht="12.75" hidden="false" customHeight="false" outlineLevel="0" collapsed="false">
      <c r="A89" s="67" t="s">
        <v>1047</v>
      </c>
      <c r="B89" s="20" t="s">
        <v>1025</v>
      </c>
      <c r="C89" s="256" t="n">
        <v>43214</v>
      </c>
      <c r="D89" s="257" t="n">
        <v>40.03327</v>
      </c>
      <c r="E89" s="257" t="n">
        <v>-83.03867</v>
      </c>
      <c r="F89" s="284"/>
      <c r="G89" s="284"/>
      <c r="H89" s="257" t="s">
        <v>1288</v>
      </c>
      <c r="I89" s="275"/>
      <c r="J89" s="257"/>
      <c r="AA89" s="278"/>
    </row>
    <row r="90" customFormat="false" ht="12.75" hidden="false" customHeight="false" outlineLevel="0" collapsed="false">
      <c r="A90" s="13" t="s">
        <v>263</v>
      </c>
      <c r="B90" s="20" t="s">
        <v>862</v>
      </c>
      <c r="C90" s="256" t="n">
        <v>43235</v>
      </c>
      <c r="D90" s="257" t="n">
        <v>40.111164</v>
      </c>
      <c r="E90" s="257" t="n">
        <v>-83.0654</v>
      </c>
      <c r="F90" s="284" t="n">
        <v>19588.6223494682</v>
      </c>
      <c r="G90" s="284" t="n">
        <v>19588.6223494682</v>
      </c>
      <c r="H90" s="257" t="s">
        <v>1282</v>
      </c>
      <c r="I90" s="257" t="s">
        <v>1277</v>
      </c>
      <c r="J90" s="257" t="s">
        <v>1278</v>
      </c>
    </row>
    <row r="91" s="67" customFormat="true" ht="12.75" hidden="false" customHeight="false" outlineLevel="0" collapsed="false">
      <c r="A91" s="67" t="s">
        <v>1050</v>
      </c>
      <c r="B91" s="3" t="s">
        <v>683</v>
      </c>
      <c r="C91" s="256" t="n">
        <v>43230</v>
      </c>
      <c r="D91" s="275"/>
      <c r="E91" s="275"/>
      <c r="F91" s="284"/>
      <c r="G91" s="284"/>
      <c r="H91" s="257" t="s">
        <v>1288</v>
      </c>
      <c r="I91" s="275"/>
      <c r="J91" s="257" t="s">
        <v>1289</v>
      </c>
      <c r="AA91" s="278" t="s">
        <v>1363</v>
      </c>
    </row>
    <row r="92" customFormat="false" ht="12.75" hidden="false" customHeight="false" outlineLevel="0" collapsed="false">
      <c r="A92" s="13" t="s">
        <v>266</v>
      </c>
      <c r="B92" s="20" t="s">
        <v>862</v>
      </c>
      <c r="C92" s="256" t="n">
        <v>43235</v>
      </c>
      <c r="D92" s="257" t="n">
        <v>40.111164</v>
      </c>
      <c r="E92" s="257" t="n">
        <v>-83.0654</v>
      </c>
      <c r="F92" s="284" t="n">
        <v>19588.6223494682</v>
      </c>
      <c r="G92" s="284" t="n">
        <v>19588.6223494682</v>
      </c>
      <c r="H92" s="257" t="s">
        <v>1282</v>
      </c>
      <c r="I92" s="257" t="s">
        <v>1277</v>
      </c>
      <c r="J92" s="257" t="s">
        <v>1278</v>
      </c>
    </row>
    <row r="93" s="67" customFormat="true" ht="12.75" hidden="false" customHeight="false" outlineLevel="0" collapsed="false">
      <c r="A93" s="67" t="s">
        <v>1054</v>
      </c>
      <c r="B93" s="3" t="s">
        <v>689</v>
      </c>
      <c r="C93" s="256" t="n">
        <v>43229</v>
      </c>
      <c r="D93" s="275"/>
      <c r="E93" s="275"/>
      <c r="F93" s="284"/>
      <c r="G93" s="284"/>
      <c r="H93" s="257" t="s">
        <v>1288</v>
      </c>
      <c r="I93" s="275"/>
      <c r="J93" s="257" t="s">
        <v>1289</v>
      </c>
      <c r="AA93" s="278"/>
    </row>
    <row r="94" customFormat="false" ht="12.75" hidden="false" customHeight="false" outlineLevel="0" collapsed="false">
      <c r="A94" s="13" t="s">
        <v>269</v>
      </c>
      <c r="B94" s="20" t="s">
        <v>862</v>
      </c>
      <c r="C94" s="256" t="n">
        <v>43235</v>
      </c>
      <c r="D94" s="257" t="n">
        <v>40.111164</v>
      </c>
      <c r="E94" s="257" t="n">
        <v>-83.0654</v>
      </c>
      <c r="F94" s="284" t="n">
        <v>19588.6223494682</v>
      </c>
      <c r="G94" s="284" t="n">
        <v>19588.6223494682</v>
      </c>
      <c r="H94" s="257" t="s">
        <v>1282</v>
      </c>
      <c r="I94" s="257" t="s">
        <v>1277</v>
      </c>
      <c r="J94" s="257" t="s">
        <v>1278</v>
      </c>
    </row>
    <row r="95" s="67" customFormat="true" ht="12.75" hidden="false" customHeight="false" outlineLevel="0" collapsed="false">
      <c r="A95" s="67" t="s">
        <v>1057</v>
      </c>
      <c r="B95" s="3" t="s">
        <v>1058</v>
      </c>
      <c r="C95" s="256" t="n">
        <v>43206</v>
      </c>
      <c r="D95" s="275"/>
      <c r="E95" s="275"/>
      <c r="F95" s="284"/>
      <c r="G95" s="284"/>
      <c r="H95" s="257" t="s">
        <v>1288</v>
      </c>
      <c r="I95" s="275"/>
      <c r="J95" s="257" t="s">
        <v>1289</v>
      </c>
      <c r="AA95" s="278"/>
    </row>
    <row r="96" customFormat="false" ht="12.75" hidden="false" customHeight="false" outlineLevel="0" collapsed="false">
      <c r="A96" s="13" t="s">
        <v>272</v>
      </c>
      <c r="B96" s="20" t="s">
        <v>862</v>
      </c>
      <c r="C96" s="256" t="n">
        <v>43235</v>
      </c>
      <c r="D96" s="257" t="n">
        <v>40.111164</v>
      </c>
      <c r="E96" s="257" t="n">
        <v>-83.0654</v>
      </c>
      <c r="F96" s="284" t="n">
        <v>19588.6223494682</v>
      </c>
      <c r="G96" s="284" t="n">
        <v>19588.6223494682</v>
      </c>
      <c r="H96" s="257" t="s">
        <v>1282</v>
      </c>
      <c r="I96" s="257" t="s">
        <v>1277</v>
      </c>
      <c r="J96" s="257" t="s">
        <v>1278</v>
      </c>
    </row>
    <row r="97" s="59" customFormat="true" ht="12.75" hidden="false" customHeight="false" outlineLevel="0" collapsed="false">
      <c r="A97" s="59" t="s">
        <v>1061</v>
      </c>
      <c r="B97" s="29" t="s">
        <v>1364</v>
      </c>
      <c r="C97" s="285"/>
      <c r="D97" s="279"/>
      <c r="E97" s="279"/>
      <c r="F97" s="284"/>
      <c r="G97" s="284"/>
      <c r="H97" s="279" t="s">
        <v>1312</v>
      </c>
      <c r="I97" s="279"/>
      <c r="J97" s="279"/>
      <c r="AA97" s="286"/>
    </row>
    <row r="98" customFormat="false" ht="12.75" hidden="false" customHeight="false" outlineLevel="0" collapsed="false">
      <c r="A98" s="13" t="s">
        <v>275</v>
      </c>
      <c r="B98" s="20" t="s">
        <v>862</v>
      </c>
      <c r="C98" s="256" t="n">
        <v>43235</v>
      </c>
      <c r="D98" s="257" t="n">
        <v>40.111164</v>
      </c>
      <c r="E98" s="257" t="n">
        <v>-83.0654</v>
      </c>
      <c r="F98" s="284" t="n">
        <v>19588.6223494682</v>
      </c>
      <c r="G98" s="284" t="n">
        <v>19588.6223494682</v>
      </c>
      <c r="H98" s="257" t="s">
        <v>1282</v>
      </c>
      <c r="I98" s="257" t="s">
        <v>1277</v>
      </c>
      <c r="J98" s="257" t="s">
        <v>1278</v>
      </c>
    </row>
    <row r="99" s="67" customFormat="true" ht="12.75" hidden="false" customHeight="false" outlineLevel="0" collapsed="false">
      <c r="A99" s="67" t="s">
        <v>1065</v>
      </c>
      <c r="B99" s="3" t="s">
        <v>706</v>
      </c>
      <c r="C99" s="256" t="n">
        <v>43214</v>
      </c>
      <c r="D99" s="275"/>
      <c r="E99" s="275"/>
      <c r="F99" s="284"/>
      <c r="G99" s="284"/>
      <c r="H99" s="257" t="s">
        <v>1288</v>
      </c>
      <c r="I99" s="275"/>
      <c r="J99" s="257" t="s">
        <v>1289</v>
      </c>
      <c r="AA99" s="278"/>
    </row>
    <row r="100" customFormat="false" ht="12.75" hidden="false" customHeight="false" outlineLevel="0" collapsed="false">
      <c r="A100" s="13" t="s">
        <v>278</v>
      </c>
      <c r="B100" s="20" t="s">
        <v>862</v>
      </c>
      <c r="C100" s="256" t="n">
        <v>43235</v>
      </c>
      <c r="D100" s="257" t="n">
        <v>40.111164</v>
      </c>
      <c r="E100" s="257" t="n">
        <v>-83.0654</v>
      </c>
      <c r="F100" s="284" t="n">
        <v>19588.6223494682</v>
      </c>
      <c r="G100" s="284" t="n">
        <v>19588.6223494682</v>
      </c>
      <c r="H100" s="257" t="s">
        <v>1282</v>
      </c>
      <c r="I100" s="257" t="s">
        <v>1277</v>
      </c>
      <c r="J100" s="257" t="s">
        <v>1278</v>
      </c>
    </row>
    <row r="101" s="67" customFormat="true" ht="12.75" hidden="false" customHeight="false" outlineLevel="0" collapsed="false">
      <c r="A101" s="67" t="s">
        <v>1068</v>
      </c>
      <c r="B101" s="3" t="s">
        <v>712</v>
      </c>
      <c r="C101" s="256" t="n">
        <v>43201</v>
      </c>
      <c r="D101" s="275"/>
      <c r="E101" s="275"/>
      <c r="F101" s="284"/>
      <c r="G101" s="284"/>
      <c r="H101" s="257" t="s">
        <v>1288</v>
      </c>
      <c r="I101" s="275"/>
      <c r="J101" s="257" t="s">
        <v>1289</v>
      </c>
      <c r="AA101" s="278"/>
    </row>
    <row r="102" customFormat="false" ht="12.75" hidden="false" customHeight="false" outlineLevel="0" collapsed="false">
      <c r="A102" s="13" t="s">
        <v>281</v>
      </c>
      <c r="B102" s="20" t="s">
        <v>862</v>
      </c>
      <c r="C102" s="256" t="n">
        <v>43235</v>
      </c>
      <c r="D102" s="257" t="n">
        <v>40.111164</v>
      </c>
      <c r="E102" s="257" t="n">
        <v>-83.0654</v>
      </c>
      <c r="F102" s="284" t="n">
        <v>19588.6223494682</v>
      </c>
      <c r="G102" s="284" t="n">
        <v>19588.6223494682</v>
      </c>
      <c r="H102" s="257" t="s">
        <v>1282</v>
      </c>
      <c r="I102" s="257" t="s">
        <v>1277</v>
      </c>
      <c r="J102" s="257" t="s">
        <v>1278</v>
      </c>
    </row>
    <row r="103" s="67" customFormat="true" ht="12.75" hidden="false" customHeight="false" outlineLevel="0" collapsed="false">
      <c r="A103" s="67" t="s">
        <v>1071</v>
      </c>
      <c r="B103" s="20" t="s">
        <v>717</v>
      </c>
      <c r="C103" s="256" t="n">
        <v>43219</v>
      </c>
      <c r="D103" s="275"/>
      <c r="E103" s="275"/>
      <c r="F103" s="284"/>
      <c r="G103" s="284"/>
      <c r="H103" s="257" t="s">
        <v>1288</v>
      </c>
      <c r="I103" s="275"/>
      <c r="J103" s="257" t="s">
        <v>1289</v>
      </c>
      <c r="AA103" s="278"/>
    </row>
    <row r="104" customFormat="false" ht="12.75" hidden="false" customHeight="false" outlineLevel="0" collapsed="false">
      <c r="A104" s="13" t="s">
        <v>284</v>
      </c>
      <c r="B104" s="20" t="s">
        <v>862</v>
      </c>
      <c r="C104" s="256" t="n">
        <v>43235</v>
      </c>
      <c r="D104" s="257" t="n">
        <v>40.111164</v>
      </c>
      <c r="E104" s="257" t="n">
        <v>-83.0654</v>
      </c>
      <c r="F104" s="284" t="n">
        <v>19588.6223494682</v>
      </c>
      <c r="G104" s="284" t="n">
        <v>19588.6223494682</v>
      </c>
      <c r="H104" s="257" t="s">
        <v>1282</v>
      </c>
      <c r="I104" s="257" t="s">
        <v>1277</v>
      </c>
      <c r="J104" s="257" t="s">
        <v>1278</v>
      </c>
    </row>
    <row r="105" s="67" customFormat="true" ht="12.75" hidden="false" customHeight="false" outlineLevel="0" collapsed="false">
      <c r="A105" s="67" t="s">
        <v>1074</v>
      </c>
      <c r="B105" s="3" t="s">
        <v>722</v>
      </c>
      <c r="C105" s="256" t="n">
        <v>43231</v>
      </c>
      <c r="D105" s="275"/>
      <c r="E105" s="275"/>
      <c r="F105" s="284"/>
      <c r="G105" s="284"/>
      <c r="H105" s="257" t="s">
        <v>1288</v>
      </c>
      <c r="I105" s="275"/>
      <c r="J105" s="257" t="s">
        <v>1289</v>
      </c>
      <c r="AA105" s="278"/>
    </row>
    <row r="106" customFormat="false" ht="12.75" hidden="false" customHeight="false" outlineLevel="0" collapsed="false">
      <c r="A106" s="13" t="s">
        <v>287</v>
      </c>
      <c r="B106" s="20" t="s">
        <v>862</v>
      </c>
      <c r="C106" s="256" t="n">
        <v>43235</v>
      </c>
      <c r="D106" s="257" t="n">
        <v>40.111164</v>
      </c>
      <c r="E106" s="257" t="n">
        <v>-83.0654</v>
      </c>
      <c r="F106" s="284" t="n">
        <v>19588.6223494682</v>
      </c>
      <c r="G106" s="284" t="n">
        <v>19588.6223494682</v>
      </c>
      <c r="H106" s="257" t="s">
        <v>1282</v>
      </c>
      <c r="I106" s="257" t="s">
        <v>1277</v>
      </c>
      <c r="J106" s="257" t="s">
        <v>1278</v>
      </c>
    </row>
    <row r="107" s="67" customFormat="true" ht="12.75" hidden="false" customHeight="false" outlineLevel="0" collapsed="false">
      <c r="A107" s="67" t="s">
        <v>1078</v>
      </c>
      <c r="B107" s="3" t="s">
        <v>727</v>
      </c>
      <c r="C107" s="256" t="n">
        <v>43214</v>
      </c>
      <c r="D107" s="275"/>
      <c r="E107" s="275"/>
      <c r="F107" s="284"/>
      <c r="G107" s="284"/>
      <c r="H107" s="257" t="s">
        <v>1288</v>
      </c>
      <c r="I107" s="275"/>
      <c r="J107" s="257" t="s">
        <v>1289</v>
      </c>
      <c r="AA107" s="278"/>
    </row>
    <row r="108" customFormat="false" ht="12.75" hidden="false" customHeight="false" outlineLevel="0" collapsed="false">
      <c r="A108" s="13" t="s">
        <v>290</v>
      </c>
      <c r="B108" s="20" t="s">
        <v>862</v>
      </c>
      <c r="C108" s="256" t="n">
        <v>43235</v>
      </c>
      <c r="D108" s="257" t="n">
        <v>40.111164</v>
      </c>
      <c r="E108" s="257" t="n">
        <v>-83.0654</v>
      </c>
      <c r="F108" s="284" t="n">
        <v>19588.6223494682</v>
      </c>
      <c r="G108" s="284" t="n">
        <v>19588.6223494682</v>
      </c>
      <c r="H108" s="257" t="s">
        <v>1282</v>
      </c>
      <c r="I108" s="257" t="s">
        <v>1277</v>
      </c>
      <c r="J108" s="257" t="s">
        <v>1278</v>
      </c>
    </row>
    <row r="109" s="67" customFormat="true" ht="12.75" hidden="false" customHeight="false" outlineLevel="0" collapsed="false">
      <c r="A109" s="67" t="s">
        <v>1082</v>
      </c>
      <c r="B109" s="3" t="s">
        <v>733</v>
      </c>
      <c r="C109" s="256" t="n">
        <v>43209</v>
      </c>
      <c r="D109" s="275"/>
      <c r="E109" s="275"/>
      <c r="F109" s="284"/>
      <c r="G109" s="284"/>
      <c r="H109" s="257" t="s">
        <v>1288</v>
      </c>
      <c r="I109" s="275"/>
      <c r="J109" s="257" t="s">
        <v>1289</v>
      </c>
      <c r="AA109" s="278"/>
    </row>
    <row r="110" customFormat="false" ht="12.75" hidden="false" customHeight="false" outlineLevel="0" collapsed="false">
      <c r="A110" s="13" t="s">
        <v>293</v>
      </c>
      <c r="B110" s="20" t="s">
        <v>862</v>
      </c>
      <c r="C110" s="256" t="n">
        <v>43235</v>
      </c>
      <c r="D110" s="257" t="n">
        <v>40.111164</v>
      </c>
      <c r="E110" s="257" t="n">
        <v>-83.0654</v>
      </c>
      <c r="F110" s="284" t="n">
        <v>19588.6223494682</v>
      </c>
      <c r="G110" s="284" t="n">
        <v>19588.6223494682</v>
      </c>
      <c r="H110" s="257" t="s">
        <v>1282</v>
      </c>
      <c r="I110" s="257" t="s">
        <v>1277</v>
      </c>
      <c r="J110" s="257" t="s">
        <v>1278</v>
      </c>
    </row>
    <row r="111" s="67" customFormat="true" ht="12.75" hidden="false" customHeight="false" outlineLevel="0" collapsed="false">
      <c r="A111" s="67" t="s">
        <v>1085</v>
      </c>
      <c r="B111" s="20" t="s">
        <v>295</v>
      </c>
      <c r="C111" s="256" t="n">
        <v>43209</v>
      </c>
      <c r="D111" s="275"/>
      <c r="E111" s="275"/>
      <c r="F111" s="284"/>
      <c r="G111" s="284"/>
      <c r="H111" s="257" t="s">
        <v>1288</v>
      </c>
      <c r="I111" s="275"/>
      <c r="J111" s="257" t="s">
        <v>1289</v>
      </c>
      <c r="AA111" s="278"/>
    </row>
    <row r="112" customFormat="false" ht="12.75" hidden="false" customHeight="false" outlineLevel="0" collapsed="false">
      <c r="A112" s="13" t="s">
        <v>296</v>
      </c>
      <c r="B112" s="20" t="s">
        <v>862</v>
      </c>
      <c r="C112" s="256" t="n">
        <v>43235</v>
      </c>
      <c r="D112" s="257" t="n">
        <v>40.111164</v>
      </c>
      <c r="E112" s="257" t="n">
        <v>-83.0654</v>
      </c>
      <c r="F112" s="284" t="n">
        <v>19588.6223494682</v>
      </c>
      <c r="G112" s="284" t="n">
        <v>19588.6223494682</v>
      </c>
      <c r="H112" s="257" t="s">
        <v>1282</v>
      </c>
      <c r="I112" s="257" t="s">
        <v>1277</v>
      </c>
      <c r="J112" s="257" t="s">
        <v>1278</v>
      </c>
    </row>
    <row r="113" s="67" customFormat="true" ht="12.75" hidden="false" customHeight="false" outlineLevel="0" collapsed="false">
      <c r="A113" s="67" t="s">
        <v>1088</v>
      </c>
      <c r="B113" s="67" t="s">
        <v>298</v>
      </c>
      <c r="C113" s="256" t="n">
        <v>43119</v>
      </c>
      <c r="D113" s="275"/>
      <c r="E113" s="275"/>
      <c r="F113" s="284"/>
      <c r="G113" s="284"/>
      <c r="H113" s="257" t="s">
        <v>1288</v>
      </c>
      <c r="I113" s="275"/>
      <c r="J113" s="257" t="s">
        <v>1289</v>
      </c>
      <c r="AA113" s="278"/>
    </row>
    <row r="114" customFormat="false" ht="12.75" hidden="false" customHeight="false" outlineLevel="0" collapsed="false">
      <c r="A114" s="13" t="s">
        <v>299</v>
      </c>
      <c r="B114" s="20" t="s">
        <v>862</v>
      </c>
      <c r="C114" s="256" t="n">
        <v>43235</v>
      </c>
      <c r="D114" s="257" t="n">
        <v>40.111164</v>
      </c>
      <c r="E114" s="257" t="n">
        <v>-83.0654</v>
      </c>
      <c r="F114" s="284" t="n">
        <v>19588.6223494682</v>
      </c>
      <c r="G114" s="284" t="n">
        <v>19588.6223494682</v>
      </c>
      <c r="H114" s="257" t="s">
        <v>1282</v>
      </c>
      <c r="I114" s="257" t="s">
        <v>1277</v>
      </c>
      <c r="J114" s="257" t="s">
        <v>1278</v>
      </c>
    </row>
    <row r="115" s="67" customFormat="true" ht="12.75" hidden="false" customHeight="false" outlineLevel="0" collapsed="false">
      <c r="A115" s="67" t="s">
        <v>1092</v>
      </c>
      <c r="B115" s="3" t="s">
        <v>749</v>
      </c>
      <c r="C115" s="256" t="n">
        <v>43203</v>
      </c>
      <c r="D115" s="275"/>
      <c r="E115" s="275"/>
      <c r="F115" s="284"/>
      <c r="G115" s="284"/>
      <c r="H115" s="257" t="s">
        <v>1288</v>
      </c>
      <c r="I115" s="275"/>
      <c r="J115" s="257" t="s">
        <v>1289</v>
      </c>
      <c r="AA115" s="278"/>
    </row>
    <row r="116" customFormat="false" ht="12.75" hidden="false" customHeight="false" outlineLevel="0" collapsed="false">
      <c r="A116" s="13" t="s">
        <v>302</v>
      </c>
      <c r="B116" s="20" t="s">
        <v>862</v>
      </c>
      <c r="C116" s="256" t="n">
        <v>43235</v>
      </c>
      <c r="D116" s="257" t="n">
        <v>40.111164</v>
      </c>
      <c r="E116" s="257" t="n">
        <v>-83.0654</v>
      </c>
      <c r="F116" s="267" t="n">
        <v>19588.6223494682</v>
      </c>
      <c r="G116" s="267" t="n">
        <v>19588.6223494682</v>
      </c>
      <c r="H116" s="257" t="s">
        <v>1282</v>
      </c>
      <c r="I116" s="257" t="s">
        <v>1277</v>
      </c>
      <c r="J116" s="257" t="s">
        <v>1278</v>
      </c>
    </row>
    <row r="117" customFormat="false" ht="12.75" hidden="false" customHeight="false" outlineLevel="0" collapsed="false">
      <c r="A117" s="13" t="s">
        <v>1095</v>
      </c>
      <c r="B117" s="94"/>
      <c r="F117" s="267"/>
      <c r="G117" s="267"/>
      <c r="H117" s="257"/>
      <c r="I117" s="257"/>
      <c r="J117" s="257"/>
    </row>
    <row r="118" customFormat="false" ht="12.75" hidden="false" customHeight="false" outlineLevel="0" collapsed="false">
      <c r="A118" s="13" t="s">
        <v>305</v>
      </c>
      <c r="B118" s="20" t="s">
        <v>862</v>
      </c>
      <c r="C118" s="256" t="n">
        <v>43235</v>
      </c>
      <c r="D118" s="257" t="n">
        <v>40.111164</v>
      </c>
      <c r="E118" s="257" t="n">
        <v>-83.0654</v>
      </c>
      <c r="F118" s="267" t="n">
        <v>19588.6223494682</v>
      </c>
      <c r="G118" s="267" t="n">
        <v>19588.6223494682</v>
      </c>
      <c r="H118" s="257" t="s">
        <v>1282</v>
      </c>
      <c r="I118" s="257" t="s">
        <v>1277</v>
      </c>
      <c r="J118" s="257" t="s">
        <v>1278</v>
      </c>
    </row>
    <row r="119" customFormat="false" ht="12.75" hidden="false" customHeight="false" outlineLevel="0" collapsed="false">
      <c r="A119" s="13" t="s">
        <v>1101</v>
      </c>
      <c r="B119" s="94"/>
      <c r="F119" s="267"/>
      <c r="G119" s="267"/>
      <c r="H119" s="257"/>
      <c r="I119" s="257"/>
      <c r="J119" s="257"/>
    </row>
    <row r="120" customFormat="false" ht="12.75" hidden="false" customHeight="false" outlineLevel="0" collapsed="false">
      <c r="A120" s="13" t="s">
        <v>308</v>
      </c>
      <c r="B120" s="20" t="s">
        <v>862</v>
      </c>
      <c r="C120" s="256" t="n">
        <v>43235</v>
      </c>
      <c r="D120" s="257" t="n">
        <v>40.111164</v>
      </c>
      <c r="E120" s="257" t="n">
        <v>-83.0654</v>
      </c>
      <c r="F120" s="267" t="n">
        <v>19588.6223494682</v>
      </c>
      <c r="G120" s="267" t="n">
        <v>19588.6223494682</v>
      </c>
      <c r="H120" s="257" t="s">
        <v>1282</v>
      </c>
      <c r="I120" s="257" t="s">
        <v>1277</v>
      </c>
      <c r="J120" s="257" t="s">
        <v>1278</v>
      </c>
    </row>
    <row r="121" customFormat="false" ht="12.75" hidden="false" customHeight="false" outlineLevel="0" collapsed="false">
      <c r="A121" s="13" t="s">
        <v>311</v>
      </c>
      <c r="B121" s="20" t="s">
        <v>862</v>
      </c>
      <c r="C121" s="256" t="n">
        <v>43235</v>
      </c>
      <c r="D121" s="257" t="n">
        <v>40.111164</v>
      </c>
      <c r="E121" s="257" t="n">
        <v>-83.0654</v>
      </c>
      <c r="F121" s="267" t="n">
        <v>19588.6223494682</v>
      </c>
      <c r="G121" s="267" t="n">
        <v>19588.6223494682</v>
      </c>
      <c r="H121" s="257" t="s">
        <v>1282</v>
      </c>
      <c r="I121" s="257" t="s">
        <v>1277</v>
      </c>
      <c r="J121" s="257" t="s">
        <v>1278</v>
      </c>
    </row>
    <row r="122" customFormat="false" ht="12.75" hidden="false" customHeight="false" outlineLevel="0" collapsed="false">
      <c r="A122" s="13" t="s">
        <v>314</v>
      </c>
      <c r="B122" s="20" t="s">
        <v>862</v>
      </c>
      <c r="C122" s="256" t="n">
        <v>43235</v>
      </c>
      <c r="D122" s="257" t="n">
        <v>40.111164</v>
      </c>
      <c r="E122" s="257" t="n">
        <v>-83.0654</v>
      </c>
      <c r="F122" s="267" t="n">
        <v>19588.6223494682</v>
      </c>
      <c r="G122" s="267" t="n">
        <v>19588.6223494682</v>
      </c>
      <c r="H122" s="257" t="s">
        <v>1282</v>
      </c>
      <c r="I122" s="257" t="s">
        <v>1277</v>
      </c>
      <c r="J122" s="257" t="s">
        <v>1278</v>
      </c>
    </row>
    <row r="123" customFormat="false" ht="12.75" hidden="false" customHeight="false" outlineLevel="0" collapsed="false">
      <c r="A123" s="13" t="s">
        <v>317</v>
      </c>
      <c r="B123" s="20" t="s">
        <v>862</v>
      </c>
      <c r="C123" s="256" t="n">
        <v>43235</v>
      </c>
      <c r="D123" s="257" t="n">
        <v>40.111164</v>
      </c>
      <c r="E123" s="257" t="n">
        <v>-83.0654</v>
      </c>
      <c r="F123" s="267" t="n">
        <v>19588.6223494682</v>
      </c>
      <c r="G123" s="267" t="n">
        <v>19588.6223494682</v>
      </c>
      <c r="H123" s="257" t="s">
        <v>1282</v>
      </c>
      <c r="I123" s="257" t="s">
        <v>1277</v>
      </c>
      <c r="J123" s="257" t="s">
        <v>1278</v>
      </c>
    </row>
    <row r="124" customFormat="false" ht="12.75" hidden="false" customHeight="false" outlineLevel="0" collapsed="false">
      <c r="A124" s="13" t="s">
        <v>320</v>
      </c>
      <c r="B124" s="20" t="s">
        <v>862</v>
      </c>
      <c r="C124" s="256" t="n">
        <v>43235</v>
      </c>
      <c r="D124" s="257" t="n">
        <v>40.111164</v>
      </c>
      <c r="E124" s="257" t="n">
        <v>-83.0654</v>
      </c>
      <c r="F124" s="267" t="n">
        <v>19588.6223494682</v>
      </c>
      <c r="G124" s="267" t="n">
        <v>19588.6223494682</v>
      </c>
      <c r="H124" s="257" t="s">
        <v>1282</v>
      </c>
      <c r="I124" s="257" t="s">
        <v>1277</v>
      </c>
      <c r="J124" s="257" t="s">
        <v>1278</v>
      </c>
    </row>
    <row r="125" customFormat="false" ht="12.75" hidden="false" customHeight="false" outlineLevel="0" collapsed="false">
      <c r="A125" s="13" t="s">
        <v>323</v>
      </c>
      <c r="B125" s="20" t="s">
        <v>862</v>
      </c>
      <c r="C125" s="256" t="n">
        <v>43235</v>
      </c>
      <c r="D125" s="257" t="n">
        <v>40.111164</v>
      </c>
      <c r="E125" s="257" t="n">
        <v>-83.0654</v>
      </c>
      <c r="F125" s="267" t="n">
        <v>19588.6223494682</v>
      </c>
      <c r="G125" s="267" t="n">
        <v>19588.6223494682</v>
      </c>
      <c r="H125" s="257" t="s">
        <v>1282</v>
      </c>
      <c r="I125" s="257" t="s">
        <v>1277</v>
      </c>
      <c r="J125" s="257" t="s">
        <v>1278</v>
      </c>
    </row>
    <row r="126" customFormat="false" ht="12.75" hidden="false" customHeight="false" outlineLevel="0" collapsed="false">
      <c r="A126" s="13" t="s">
        <v>326</v>
      </c>
      <c r="B126" s="20" t="s">
        <v>862</v>
      </c>
      <c r="C126" s="256" t="n">
        <v>43235</v>
      </c>
      <c r="D126" s="257" t="n">
        <v>40.111164</v>
      </c>
      <c r="E126" s="257" t="n">
        <v>-83.0654</v>
      </c>
      <c r="F126" s="267" t="n">
        <v>19588.6223494682</v>
      </c>
      <c r="G126" s="267" t="n">
        <v>19588.6223494682</v>
      </c>
      <c r="H126" s="257" t="s">
        <v>1282</v>
      </c>
      <c r="I126" s="257" t="s">
        <v>1277</v>
      </c>
      <c r="J126" s="257" t="s">
        <v>1278</v>
      </c>
    </row>
    <row r="127" customFormat="false" ht="12.75" hidden="false" customHeight="false" outlineLevel="0" collapsed="false">
      <c r="A127" s="13" t="s">
        <v>329</v>
      </c>
      <c r="B127" s="20" t="s">
        <v>862</v>
      </c>
      <c r="C127" s="256" t="n">
        <v>43235</v>
      </c>
      <c r="D127" s="257" t="n">
        <v>40.111164</v>
      </c>
      <c r="E127" s="257" t="n">
        <v>-83.0654</v>
      </c>
      <c r="F127" s="267" t="n">
        <v>19588.6223494682</v>
      </c>
      <c r="G127" s="267" t="n">
        <v>19588.6223494682</v>
      </c>
      <c r="H127" s="257" t="s">
        <v>1282</v>
      </c>
      <c r="I127" s="257" t="s">
        <v>1277</v>
      </c>
      <c r="J127" s="257" t="s">
        <v>1278</v>
      </c>
    </row>
    <row r="128" customFormat="false" ht="12.75" hidden="false" customHeight="false" outlineLevel="0" collapsed="false">
      <c r="A128" s="13" t="s">
        <v>332</v>
      </c>
      <c r="B128" s="20" t="s">
        <v>862</v>
      </c>
      <c r="C128" s="256" t="n">
        <v>43235</v>
      </c>
      <c r="D128" s="257" t="n">
        <v>40.111164</v>
      </c>
      <c r="E128" s="257" t="n">
        <v>-83.0654</v>
      </c>
      <c r="F128" s="267" t="n">
        <v>19588.6223494682</v>
      </c>
      <c r="G128" s="267" t="n">
        <v>19588.6223494682</v>
      </c>
      <c r="H128" s="257" t="s">
        <v>1282</v>
      </c>
      <c r="I128" s="257" t="s">
        <v>1277</v>
      </c>
      <c r="J128" s="257" t="s">
        <v>1278</v>
      </c>
    </row>
    <row r="129" customFormat="false" ht="12.75" hidden="false" customHeight="false" outlineLevel="0" collapsed="false">
      <c r="A129" s="13" t="s">
        <v>335</v>
      </c>
      <c r="B129" s="20" t="s">
        <v>862</v>
      </c>
      <c r="C129" s="256" t="n">
        <v>43235</v>
      </c>
      <c r="D129" s="257" t="n">
        <v>40.111164</v>
      </c>
      <c r="E129" s="257" t="n">
        <v>-83.0654</v>
      </c>
      <c r="F129" s="267" t="n">
        <v>19588.6223494682</v>
      </c>
      <c r="G129" s="267" t="n">
        <v>19588.6223494682</v>
      </c>
      <c r="H129" s="257" t="s">
        <v>1282</v>
      </c>
      <c r="I129" s="257" t="s">
        <v>1277</v>
      </c>
      <c r="J129" s="257" t="s">
        <v>1278</v>
      </c>
    </row>
    <row r="130" customFormat="false" ht="12.75" hidden="false" customHeight="false" outlineLevel="0" collapsed="false">
      <c r="A130" s="13" t="s">
        <v>338</v>
      </c>
      <c r="B130" s="20" t="s">
        <v>862</v>
      </c>
      <c r="C130" s="256" t="n">
        <v>43235</v>
      </c>
      <c r="D130" s="257" t="n">
        <v>40.111164</v>
      </c>
      <c r="E130" s="257" t="n">
        <v>-83.0654</v>
      </c>
      <c r="F130" s="267" t="n">
        <v>19588.6223494682</v>
      </c>
      <c r="G130" s="267" t="n">
        <v>19588.6223494682</v>
      </c>
      <c r="H130" s="257" t="s">
        <v>1282</v>
      </c>
      <c r="I130" s="257" t="s">
        <v>1277</v>
      </c>
      <c r="J130" s="257" t="s">
        <v>1278</v>
      </c>
    </row>
    <row r="131" customFormat="false" ht="12.75" hidden="false" customHeight="false" outlineLevel="0" collapsed="false">
      <c r="A131" s="13" t="s">
        <v>341</v>
      </c>
      <c r="B131" s="20" t="s">
        <v>862</v>
      </c>
      <c r="C131" s="256" t="n">
        <v>43235</v>
      </c>
      <c r="D131" s="257" t="n">
        <v>40.111164</v>
      </c>
      <c r="E131" s="257" t="n">
        <v>-83.0654</v>
      </c>
      <c r="F131" s="267" t="n">
        <v>19588.6223494682</v>
      </c>
      <c r="G131" s="267" t="n">
        <v>19588.6223494682</v>
      </c>
      <c r="H131" s="257" t="s">
        <v>1282</v>
      </c>
      <c r="I131" s="257" t="s">
        <v>1277</v>
      </c>
      <c r="J131" s="257" t="s">
        <v>1278</v>
      </c>
    </row>
    <row r="132" customFormat="false" ht="12.75" hidden="false" customHeight="false" outlineLevel="0" collapsed="false">
      <c r="A132" s="13" t="s">
        <v>344</v>
      </c>
      <c r="B132" s="20" t="s">
        <v>862</v>
      </c>
      <c r="C132" s="256" t="n">
        <v>43235</v>
      </c>
      <c r="D132" s="257" t="n">
        <v>40.111164</v>
      </c>
      <c r="E132" s="257" t="n">
        <v>-83.0654</v>
      </c>
      <c r="F132" s="267" t="n">
        <v>19588.6223494682</v>
      </c>
      <c r="G132" s="267" t="n">
        <v>19588.6223494682</v>
      </c>
      <c r="H132" s="257" t="s">
        <v>1282</v>
      </c>
      <c r="I132" s="257" t="s">
        <v>1277</v>
      </c>
      <c r="J132" s="257" t="s">
        <v>1278</v>
      </c>
    </row>
    <row r="133" customFormat="false" ht="12.75" hidden="false" customHeight="false" outlineLevel="0" collapsed="false">
      <c r="A133" s="13" t="s">
        <v>1151</v>
      </c>
      <c r="B133" s="20" t="s">
        <v>1152</v>
      </c>
      <c r="C133" s="256" t="n">
        <v>43081</v>
      </c>
      <c r="D133" s="257" t="n">
        <v>40.1160985181933</v>
      </c>
      <c r="E133" s="257" t="n">
        <v>-83.9313297848764</v>
      </c>
      <c r="F133" s="267"/>
      <c r="G133" s="267"/>
      <c r="H133" s="257"/>
      <c r="I133" s="257" t="s">
        <v>1288</v>
      </c>
      <c r="J133" s="257" t="s">
        <v>1289</v>
      </c>
      <c r="N133" s="13" t="n">
        <v>61</v>
      </c>
      <c r="O133" s="13" t="s">
        <v>1336</v>
      </c>
      <c r="P133" s="13" t="n">
        <v>78</v>
      </c>
      <c r="Q133" s="13" t="n">
        <v>0.23</v>
      </c>
      <c r="R133" s="13" t="n">
        <v>2</v>
      </c>
      <c r="S133" s="13" t="n">
        <v>1930</v>
      </c>
      <c r="T133" s="13" t="s">
        <v>1365</v>
      </c>
      <c r="U133" s="13" t="s">
        <v>1366</v>
      </c>
      <c r="V133" s="13" t="s">
        <v>1367</v>
      </c>
      <c r="W133" s="13" t="s">
        <v>1368</v>
      </c>
      <c r="X133" s="13" t="n">
        <v>2</v>
      </c>
      <c r="AA133" s="50" t="s">
        <v>1369</v>
      </c>
    </row>
    <row r="134" customFormat="false" ht="12.75" hidden="false" customHeight="false" outlineLevel="0" collapsed="false">
      <c r="A134" s="13" t="s">
        <v>347</v>
      </c>
      <c r="B134" s="20" t="s">
        <v>862</v>
      </c>
      <c r="C134" s="256" t="n">
        <v>43235</v>
      </c>
      <c r="D134" s="257" t="n">
        <v>40.111164</v>
      </c>
      <c r="E134" s="257" t="n">
        <v>-83.0654</v>
      </c>
      <c r="F134" s="267" t="n">
        <v>19588.6223494682</v>
      </c>
      <c r="G134" s="267" t="n">
        <v>19588.6223494682</v>
      </c>
      <c r="H134" s="257" t="s">
        <v>1282</v>
      </c>
      <c r="I134" s="257" t="s">
        <v>1277</v>
      </c>
      <c r="J134" s="257" t="s">
        <v>1278</v>
      </c>
    </row>
    <row r="135" customFormat="false" ht="12.75" hidden="false" customHeight="false" outlineLevel="0" collapsed="false">
      <c r="A135" s="13" t="s">
        <v>350</v>
      </c>
      <c r="B135" s="20" t="s">
        <v>862</v>
      </c>
      <c r="C135" s="256" t="n">
        <v>43235</v>
      </c>
      <c r="D135" s="257" t="n">
        <v>40.111164</v>
      </c>
      <c r="E135" s="257" t="n">
        <v>-83.0654</v>
      </c>
      <c r="F135" s="267" t="n">
        <v>19588.6223494682</v>
      </c>
      <c r="G135" s="267" t="n">
        <v>19588.6223494682</v>
      </c>
      <c r="H135" s="257" t="s">
        <v>1282</v>
      </c>
      <c r="I135" s="257" t="s">
        <v>1277</v>
      </c>
      <c r="J135" s="257" t="s">
        <v>1278</v>
      </c>
    </row>
    <row r="136" customFormat="false" ht="12.75" hidden="false" customHeight="false" outlineLevel="0" collapsed="false">
      <c r="A136" s="13" t="s">
        <v>353</v>
      </c>
      <c r="B136" s="20" t="s">
        <v>862</v>
      </c>
      <c r="C136" s="256" t="n">
        <v>43235</v>
      </c>
      <c r="D136" s="257" t="n">
        <v>40.111164</v>
      </c>
      <c r="E136" s="257" t="n">
        <v>-83.0654</v>
      </c>
      <c r="F136" s="267" t="n">
        <v>19588.6223494682</v>
      </c>
      <c r="G136" s="267" t="n">
        <v>19588.6223494682</v>
      </c>
      <c r="H136" s="257" t="s">
        <v>1282</v>
      </c>
      <c r="I136" s="257" t="s">
        <v>1277</v>
      </c>
      <c r="J136" s="257" t="s">
        <v>1278</v>
      </c>
    </row>
  </sheetData>
  <autoFilter ref="A1:AA69">
    <sortState ref="A2:AA69">
      <sortCondition ref="A2:A69" customList=""/>
    </sortState>
  </autoFilter>
  <dataValidations count="2">
    <dataValidation allowBlank="true" errorStyle="stop" operator="between" showDropDown="false" showErrorMessage="true" showInputMessage="true" sqref="T2:T69 T74" type="list">
      <formula1>$AE$3:$AE$13</formula1>
      <formula2>0</formula2>
    </dataValidation>
    <dataValidation allowBlank="true" errorStyle="stop" operator="between" showDropDown="false" showErrorMessage="true" showInputMessage="true" sqref="U2:U69 U74" type="list">
      <formula1>$AF$3:$AF$10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4" activeCellId="0" sqref="D14"/>
    </sheetView>
  </sheetViews>
  <sheetFormatPr defaultColWidth="8.6796875" defaultRowHeight="12.75" zeroHeight="false" outlineLevelRow="0" outlineLevelCol="0"/>
  <cols>
    <col collapsed="false" customWidth="true" hidden="false" outlineLevel="0" max="1" min="1" style="0" width="18.86"/>
    <col collapsed="false" customWidth="true" hidden="false" outlineLevel="0" max="2" min="2" style="0" width="15.14"/>
    <col collapsed="false" customWidth="true" hidden="false" outlineLevel="0" max="3" min="3" style="0" width="29.71"/>
    <col collapsed="false" customWidth="true" hidden="false" outlineLevel="0" max="4" min="4" style="0" width="12"/>
    <col collapsed="false" customWidth="true" hidden="false" outlineLevel="0" max="5" min="5" style="0" width="33.14"/>
    <col collapsed="false" customWidth="true" hidden="false" outlineLevel="0" max="6" min="6" style="0" width="34.57"/>
    <col collapsed="false" customWidth="true" hidden="false" outlineLevel="0" max="7" min="7" style="0" width="26.71"/>
  </cols>
  <sheetData>
    <row r="1" customFormat="false" ht="52.2" hidden="false" customHeight="false" outlineLevel="0" collapsed="false">
      <c r="A1" s="287" t="s">
        <v>1370</v>
      </c>
      <c r="B1" s="288" t="s">
        <v>1371</v>
      </c>
      <c r="C1" s="287" t="s">
        <v>1372</v>
      </c>
      <c r="D1" s="287" t="s">
        <v>1373</v>
      </c>
      <c r="E1" s="287" t="s">
        <v>1374</v>
      </c>
      <c r="F1" s="287" t="s">
        <v>1375</v>
      </c>
      <c r="G1" s="287" t="s">
        <v>1376</v>
      </c>
    </row>
    <row r="2" customFormat="false" ht="12.75" hidden="false" customHeight="false" outlineLevel="0" collapsed="false">
      <c r="A2" s="13" t="str">
        <f aca="false">RIGHT(C2,4)</f>
        <v>3057</v>
      </c>
      <c r="B2" s="49" t="s">
        <v>36</v>
      </c>
      <c r="C2" s="13" t="s">
        <v>1377</v>
      </c>
      <c r="D2" s="13" t="s">
        <v>1378</v>
      </c>
      <c r="E2" s="13" t="s">
        <v>1379</v>
      </c>
      <c r="F2" s="170" t="s">
        <v>1377</v>
      </c>
      <c r="G2" s="13"/>
    </row>
    <row r="3" customFormat="false" ht="12.75" hidden="false" customHeight="false" outlineLevel="0" collapsed="false">
      <c r="A3" s="47" t="str">
        <f aca="false">RIGHT(C3,4)</f>
        <v>3051</v>
      </c>
      <c r="B3" s="47" t="s">
        <v>36</v>
      </c>
      <c r="C3" s="47" t="s">
        <v>1380</v>
      </c>
      <c r="D3" s="47" t="s">
        <v>1381</v>
      </c>
      <c r="E3" s="47" t="s">
        <v>1382</v>
      </c>
      <c r="F3" s="172" t="s">
        <v>1380</v>
      </c>
      <c r="G3" s="13"/>
    </row>
    <row r="4" customFormat="false" ht="12.75" hidden="false" customHeight="false" outlineLevel="0" collapsed="false">
      <c r="A4" s="63" t="n">
        <v>3347</v>
      </c>
      <c r="B4" s="289" t="s">
        <v>40</v>
      </c>
      <c r="C4" s="47" t="s">
        <v>233</v>
      </c>
      <c r="D4" s="47" t="s">
        <v>1383</v>
      </c>
      <c r="E4" s="47" t="s">
        <v>1384</v>
      </c>
      <c r="F4" s="47" t="s">
        <v>233</v>
      </c>
      <c r="G4" s="150" t="s">
        <v>198</v>
      </c>
    </row>
    <row r="5" customFormat="false" ht="13.8" hidden="false" customHeight="false" outlineLevel="0" collapsed="false">
      <c r="A5" s="63" t="n">
        <v>3348</v>
      </c>
      <c r="B5" s="47" t="s">
        <v>32</v>
      </c>
      <c r="C5" s="47" t="s">
        <v>1385</v>
      </c>
      <c r="D5" s="47" t="s">
        <v>1386</v>
      </c>
      <c r="E5" s="172" t="s">
        <v>1387</v>
      </c>
      <c r="F5" s="290" t="s">
        <v>1385</v>
      </c>
      <c r="G5" s="291" t="s">
        <v>216</v>
      </c>
    </row>
    <row r="6" customFormat="false" ht="12.75" hidden="false" customHeight="false" outlineLevel="0" collapsed="false">
      <c r="A6" s="13"/>
      <c r="B6" s="289" t="s">
        <v>40</v>
      </c>
      <c r="C6" s="170"/>
      <c r="D6" s="13"/>
      <c r="E6" s="13"/>
      <c r="F6" s="13"/>
      <c r="G6" s="13"/>
    </row>
    <row r="7" customFormat="false" ht="12.75" hidden="false" customHeight="false" outlineLevel="0" collapsed="false">
      <c r="A7" s="13"/>
      <c r="B7" s="292"/>
      <c r="C7" s="170"/>
      <c r="D7" s="13"/>
      <c r="E7" s="13"/>
      <c r="F7" s="13"/>
      <c r="G7" s="13"/>
    </row>
    <row r="8" customFormat="false" ht="12.75" hidden="false" customHeight="false" outlineLevel="0" collapsed="false">
      <c r="A8" s="13"/>
      <c r="B8" s="289"/>
      <c r="C8" s="170"/>
      <c r="D8" s="13"/>
      <c r="E8" s="13"/>
      <c r="F8" s="13"/>
      <c r="G8" s="13"/>
    </row>
    <row r="9" customFormat="false" ht="12.75" hidden="false" customHeight="false" outlineLevel="0" collapsed="false">
      <c r="A9" s="13"/>
      <c r="B9" s="292"/>
      <c r="C9" s="170"/>
      <c r="D9" s="13"/>
      <c r="E9" s="13"/>
      <c r="F9" s="13"/>
      <c r="G9" s="13"/>
    </row>
    <row r="10" customFormat="false" ht="12.75" hidden="false" customHeight="false" outlineLevel="0" collapsed="false">
      <c r="A10" s="13" t="str">
        <f aca="false">RIGHT(C10,4)</f>
        <v/>
      </c>
      <c r="B10" s="292"/>
      <c r="C10" s="170"/>
      <c r="D10" s="13"/>
      <c r="E10" s="13"/>
      <c r="F10" s="13"/>
      <c r="G10" s="13"/>
    </row>
    <row r="11" customFormat="false" ht="12.75" hidden="false" customHeight="false" outlineLevel="0" collapsed="false">
      <c r="A11" s="13" t="str">
        <f aca="false">RIGHT(C11,4)</f>
        <v/>
      </c>
      <c r="B11" s="292"/>
      <c r="C11" s="170"/>
      <c r="D11" s="13"/>
      <c r="E11" s="13"/>
      <c r="F11" s="13"/>
      <c r="G11" s="13"/>
    </row>
    <row r="12" customFormat="false" ht="12.75" hidden="false" customHeight="false" outlineLevel="0" collapsed="false">
      <c r="A12" s="0" t="str">
        <f aca="false">RIGHT(C12,4)</f>
        <v/>
      </c>
      <c r="B12" s="49"/>
    </row>
    <row r="13" customFormat="false" ht="12.75" hidden="false" customHeight="false" outlineLevel="0" collapsed="false">
      <c r="A13" s="0" t="str">
        <f aca="false">RIGHT(C13,4)</f>
        <v/>
      </c>
      <c r="B13" s="49"/>
    </row>
    <row r="14" customFormat="false" ht="12.75" hidden="false" customHeight="false" outlineLevel="0" collapsed="false">
      <c r="A14" s="0" t="str">
        <f aca="false">RIGHT(C14,4)</f>
        <v/>
      </c>
      <c r="B14" s="49"/>
    </row>
    <row r="15" customFormat="false" ht="12.75" hidden="false" customHeight="false" outlineLevel="0" collapsed="false">
      <c r="A15" s="0" t="str">
        <f aca="false">RIGHT(C15,4)</f>
        <v/>
      </c>
      <c r="B15" s="49"/>
    </row>
    <row r="16" customFormat="false" ht="12.75" hidden="false" customHeight="false" outlineLevel="0" collapsed="false">
      <c r="A16" s="0" t="str">
        <f aca="false">RIGHT(C16,4)</f>
        <v/>
      </c>
      <c r="B16" s="49"/>
    </row>
    <row r="17" customFormat="false" ht="12.75" hidden="false" customHeight="false" outlineLevel="0" collapsed="false">
      <c r="A17" s="0" t="str">
        <f aca="false">RIGHT(C17,4)</f>
        <v/>
      </c>
      <c r="B17" s="49"/>
    </row>
    <row r="18" customFormat="false" ht="12.75" hidden="false" customHeight="false" outlineLevel="0" collapsed="false">
      <c r="B18" s="49"/>
    </row>
    <row r="19" customFormat="false" ht="12.75" hidden="false" customHeight="false" outlineLevel="0" collapsed="false">
      <c r="B19" s="49"/>
    </row>
    <row r="20" customFormat="false" ht="12.75" hidden="false" customHeight="false" outlineLevel="0" collapsed="false">
      <c r="B20" s="49"/>
    </row>
    <row r="21" customFormat="false" ht="12.75" hidden="false" customHeight="false" outlineLevel="0" collapsed="false">
      <c r="B21" s="49"/>
    </row>
    <row r="22" customFormat="false" ht="12.75" hidden="false" customHeight="false" outlineLevel="0" collapsed="false">
      <c r="B22" s="49"/>
    </row>
    <row r="23" customFormat="false" ht="12.75" hidden="false" customHeight="false" outlineLevel="0" collapsed="false">
      <c r="B23" s="49"/>
    </row>
    <row r="24" customFormat="false" ht="12.75" hidden="false" customHeight="false" outlineLevel="0" collapsed="false">
      <c r="B24" s="49"/>
    </row>
    <row r="25" customFormat="false" ht="12.75" hidden="false" customHeight="false" outlineLevel="0" collapsed="false">
      <c r="B25" s="49"/>
    </row>
    <row r="26" customFormat="false" ht="12.75" hidden="false" customHeight="false" outlineLevel="0" collapsed="false">
      <c r="B26" s="49"/>
    </row>
    <row r="27" customFormat="false" ht="12.75" hidden="false" customHeight="false" outlineLevel="0" collapsed="false">
      <c r="B27" s="49"/>
    </row>
    <row r="28" customFormat="false" ht="12.75" hidden="false" customHeight="false" outlineLevel="0" collapsed="false">
      <c r="B28" s="49"/>
    </row>
    <row r="29" customFormat="false" ht="12.75" hidden="false" customHeight="false" outlineLevel="0" collapsed="false">
      <c r="B29" s="49"/>
    </row>
    <row r="30" customFormat="false" ht="12.75" hidden="false" customHeight="false" outlineLevel="0" collapsed="false">
      <c r="B30" s="49"/>
    </row>
    <row r="31" customFormat="false" ht="12.75" hidden="false" customHeight="false" outlineLevel="0" collapsed="false">
      <c r="B31" s="49"/>
    </row>
    <row r="32" customFormat="false" ht="12.75" hidden="false" customHeight="false" outlineLevel="0" collapsed="false">
      <c r="B32" s="49"/>
    </row>
    <row r="33" customFormat="false" ht="12.75" hidden="false" customHeight="false" outlineLevel="0" collapsed="false">
      <c r="B33" s="49"/>
    </row>
    <row r="34" customFormat="false" ht="12.75" hidden="false" customHeight="false" outlineLevel="0" collapsed="false">
      <c r="B34" s="49"/>
    </row>
    <row r="35" customFormat="false" ht="12.75" hidden="false" customHeight="false" outlineLevel="0" collapsed="false">
      <c r="B35" s="49"/>
    </row>
    <row r="36" customFormat="false" ht="12.75" hidden="false" customHeight="false" outlineLevel="0" collapsed="false">
      <c r="B36" s="49"/>
    </row>
    <row r="37" customFormat="false" ht="12.75" hidden="false" customHeight="false" outlineLevel="0" collapsed="false">
      <c r="B37" s="49"/>
    </row>
    <row r="38" customFormat="false" ht="12.75" hidden="false" customHeight="false" outlineLevel="0" collapsed="false">
      <c r="B38" s="49"/>
    </row>
    <row r="39" customFormat="false" ht="12.75" hidden="false" customHeight="false" outlineLevel="0" collapsed="false">
      <c r="B39" s="49"/>
    </row>
    <row r="40" customFormat="false" ht="12.75" hidden="false" customHeight="false" outlineLevel="0" collapsed="false">
      <c r="B40" s="49"/>
    </row>
    <row r="41" customFormat="false" ht="12.75" hidden="false" customHeight="false" outlineLevel="0" collapsed="false">
      <c r="B41" s="49"/>
    </row>
    <row r="42" customFormat="false" ht="12.75" hidden="false" customHeight="false" outlineLevel="0" collapsed="false">
      <c r="B42" s="49"/>
    </row>
    <row r="43" customFormat="false" ht="12.75" hidden="false" customHeight="false" outlineLevel="0" collapsed="false">
      <c r="B43" s="49"/>
    </row>
    <row r="44" customFormat="false" ht="12.75" hidden="false" customHeight="false" outlineLevel="0" collapsed="false">
      <c r="B44" s="49"/>
    </row>
    <row r="45" customFormat="false" ht="12.75" hidden="false" customHeight="false" outlineLevel="0" collapsed="false">
      <c r="B45" s="49"/>
    </row>
    <row r="46" customFormat="false" ht="12.75" hidden="false" customHeight="false" outlineLevel="0" collapsed="false">
      <c r="B46" s="49"/>
    </row>
    <row r="47" customFormat="false" ht="12.75" hidden="false" customHeight="false" outlineLevel="0" collapsed="false">
      <c r="B47" s="49"/>
    </row>
    <row r="48" customFormat="false" ht="12.75" hidden="false" customHeight="false" outlineLevel="0" collapsed="false">
      <c r="B48" s="49"/>
    </row>
    <row r="49" customFormat="false" ht="12.75" hidden="false" customHeight="false" outlineLevel="0" collapsed="false">
      <c r="B49" s="49"/>
    </row>
    <row r="50" customFormat="false" ht="12.75" hidden="false" customHeight="false" outlineLevel="0" collapsed="false">
      <c r="B50" s="49"/>
    </row>
    <row r="51" customFormat="false" ht="12.75" hidden="false" customHeight="false" outlineLevel="0" collapsed="false">
      <c r="B51" s="49"/>
    </row>
    <row r="52" customFormat="false" ht="12.75" hidden="false" customHeight="false" outlineLevel="0" collapsed="false">
      <c r="B52" s="49"/>
    </row>
    <row r="53" customFormat="false" ht="12.75" hidden="false" customHeight="false" outlineLevel="0" collapsed="false">
      <c r="B53" s="49"/>
    </row>
    <row r="54" customFormat="false" ht="12.75" hidden="false" customHeight="false" outlineLevel="0" collapsed="false">
      <c r="B54" s="49"/>
    </row>
    <row r="55" customFormat="false" ht="12.75" hidden="false" customHeight="false" outlineLevel="0" collapsed="false">
      <c r="B55" s="49"/>
    </row>
    <row r="56" customFormat="false" ht="12.75" hidden="false" customHeight="false" outlineLevel="0" collapsed="false">
      <c r="B56" s="49"/>
    </row>
    <row r="57" customFormat="false" ht="12.75" hidden="false" customHeight="false" outlineLevel="0" collapsed="false">
      <c r="B57" s="49"/>
    </row>
    <row r="58" customFormat="false" ht="12.75" hidden="false" customHeight="false" outlineLevel="0" collapsed="false">
      <c r="B58" s="49"/>
    </row>
    <row r="59" customFormat="false" ht="12.75" hidden="false" customHeight="false" outlineLevel="0" collapsed="false">
      <c r="B59" s="49"/>
    </row>
    <row r="60" customFormat="false" ht="12.75" hidden="false" customHeight="false" outlineLevel="0" collapsed="false">
      <c r="B60" s="49"/>
    </row>
    <row r="61" customFormat="false" ht="12.75" hidden="false" customHeight="false" outlineLevel="0" collapsed="false">
      <c r="B61" s="49"/>
    </row>
    <row r="62" customFormat="false" ht="12.75" hidden="false" customHeight="false" outlineLevel="0" collapsed="false">
      <c r="B62" s="49"/>
    </row>
    <row r="63" customFormat="false" ht="12.75" hidden="false" customHeight="false" outlineLevel="0" collapsed="false">
      <c r="B63" s="49"/>
    </row>
    <row r="64" customFormat="false" ht="12.75" hidden="false" customHeight="false" outlineLevel="0" collapsed="false">
      <c r="B64" s="49"/>
    </row>
    <row r="65" customFormat="false" ht="12.75" hidden="false" customHeight="false" outlineLevel="0" collapsed="false">
      <c r="B65" s="49"/>
    </row>
    <row r="66" customFormat="false" ht="12.75" hidden="false" customHeight="false" outlineLevel="0" collapsed="false">
      <c r="B66" s="49"/>
    </row>
    <row r="67" customFormat="false" ht="12.75" hidden="false" customHeight="false" outlineLevel="0" collapsed="false">
      <c r="B67" s="49"/>
    </row>
    <row r="68" customFormat="false" ht="12.75" hidden="false" customHeight="false" outlineLevel="0" collapsed="false">
      <c r="B68" s="49"/>
    </row>
    <row r="69" customFormat="false" ht="12.75" hidden="false" customHeight="false" outlineLevel="0" collapsed="false">
      <c r="B69" s="49"/>
    </row>
    <row r="70" customFormat="false" ht="12.75" hidden="false" customHeight="false" outlineLevel="0" collapsed="false">
      <c r="B70" s="49"/>
    </row>
    <row r="71" customFormat="false" ht="12.75" hidden="false" customHeight="false" outlineLevel="0" collapsed="false">
      <c r="B71" s="49"/>
    </row>
  </sheetData>
  <dataValidations count="1">
    <dataValidation allowBlank="true" errorStyle="stop" operator="between" showDropDown="false" showErrorMessage="true" showInputMessage="true" sqref="B2:B71" type="list">
      <formula1>$L$2:$L$4</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cellIs" priority="2" operator="equal" id="{49631C11-6E70-4729-B073-D4B36E54582C}">
            <xm:f>'Cell References'!$E$6</xm:f>
            <x14:dxf>
              <fill>
                <patternFill>
                  <bgColor rgb="FF00B0F0"/>
                </patternFill>
              </fill>
            </x14:dxf>
          </x14:cfRule>
          <x14:cfRule type="cellIs" priority="3" operator="equal" id="{915DB8C0-14F4-4F96-9CF0-A0667CBACA12}">
            <xm:f>'Cell References'!$E$5</xm:f>
            <x14:dxf>
              <fill>
                <patternFill>
                  <bgColor rgb="FF92D050"/>
                </patternFill>
              </fill>
            </x14:dxf>
          </x14:cfRule>
          <x14:cfRule type="cellIs" priority="4" operator="equal" id="{31A5DAC1-E05A-4FE7-B65D-9D596E1A27D9}">
            <xm:f>'Cell References'!$E$4</xm:f>
            <x14:dxf>
              <fill>
                <patternFill>
                  <bgColor rgb="FFE920F8"/>
                </patternFill>
              </fill>
            </x14:dxf>
          </x14:cfRule>
          <xm:sqref>B:B</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9" activeCellId="0" sqref="G19"/>
    </sheetView>
  </sheetViews>
  <sheetFormatPr defaultColWidth="8.6796875" defaultRowHeight="12.75" zeroHeight="false" outlineLevelRow="0" outlineLevelCol="0"/>
  <cols>
    <col collapsed="false" customWidth="true" hidden="false" outlineLevel="0" max="1" min="1" style="0" width="9.86"/>
    <col collapsed="false" customWidth="true" hidden="false" outlineLevel="0" max="2" min="2" style="0" width="5.57"/>
    <col collapsed="false" customWidth="true" hidden="false" outlineLevel="0" max="3" min="3" style="0" width="15"/>
    <col collapsed="false" customWidth="true" hidden="false" outlineLevel="0" max="4" min="4" style="0" width="6.85"/>
    <col collapsed="false" customWidth="true" hidden="false" outlineLevel="0" max="5" min="5" style="0" width="19.86"/>
    <col collapsed="false" customWidth="true" hidden="false" outlineLevel="0" max="6" min="6" style="0" width="12.71"/>
    <col collapsed="false" customWidth="true" hidden="false" outlineLevel="0" max="7" min="7" style="0" width="26.15"/>
    <col collapsed="false" customWidth="true" hidden="false" outlineLevel="0" max="8" min="8" style="0" width="6.57"/>
    <col collapsed="false" customWidth="true" hidden="false" outlineLevel="0" max="9" min="9" style="0" width="17.71"/>
    <col collapsed="false" customWidth="true" hidden="false" outlineLevel="0" max="10" min="10" style="0" width="16.85"/>
    <col collapsed="false" customWidth="true" hidden="false" outlineLevel="0" max="11" min="11" style="0" width="25.71"/>
    <col collapsed="false" customWidth="true" hidden="false" outlineLevel="0" max="12" min="12" style="0" width="16"/>
  </cols>
  <sheetData>
    <row r="1" customFormat="false" ht="44" hidden="false" customHeight="false" outlineLevel="0" collapsed="false">
      <c r="A1" s="293" t="s">
        <v>48</v>
      </c>
      <c r="B1" s="293" t="s">
        <v>49</v>
      </c>
      <c r="C1" s="293" t="s">
        <v>50</v>
      </c>
      <c r="D1" s="293" t="s">
        <v>51</v>
      </c>
      <c r="E1" s="293" t="s">
        <v>52</v>
      </c>
      <c r="F1" s="294" t="s">
        <v>53</v>
      </c>
      <c r="G1" s="294" t="s">
        <v>54</v>
      </c>
      <c r="H1" s="293" t="s">
        <v>55</v>
      </c>
      <c r="I1" s="293" t="s">
        <v>56</v>
      </c>
      <c r="J1" s="295" t="s">
        <v>57</v>
      </c>
      <c r="K1" s="293" t="s">
        <v>58</v>
      </c>
      <c r="L1" s="2" t="s">
        <v>233</v>
      </c>
      <c r="M1" s="296"/>
      <c r="N1" s="296"/>
      <c r="O1" s="296"/>
      <c r="P1" s="296"/>
      <c r="Q1" s="296"/>
      <c r="R1" s="296"/>
      <c r="S1" s="296"/>
      <c r="T1" s="296"/>
      <c r="U1" s="2"/>
      <c r="V1" s="2"/>
      <c r="W1" s="2"/>
      <c r="X1" s="2"/>
      <c r="Y1" s="2"/>
      <c r="Z1" s="2"/>
      <c r="AA1" s="2"/>
      <c r="AB1" s="2"/>
      <c r="AC1" s="2"/>
      <c r="AD1" s="2"/>
      <c r="AE1" s="2"/>
      <c r="AF1" s="2"/>
      <c r="AG1" s="2"/>
      <c r="AH1" s="2"/>
      <c r="AI1" s="2"/>
      <c r="AJ1" s="2"/>
    </row>
    <row r="2" customFormat="false" ht="13.8" hidden="false" customHeight="false" outlineLevel="0" collapsed="false">
      <c r="A2" s="297" t="n">
        <v>1</v>
      </c>
      <c r="B2" s="298" t="s">
        <v>1388</v>
      </c>
      <c r="C2" s="298"/>
      <c r="E2" s="299" t="s">
        <v>1389</v>
      </c>
      <c r="F2" s="299"/>
      <c r="L2" s="2"/>
      <c r="M2" s="2"/>
      <c r="N2" s="2"/>
      <c r="O2" s="2"/>
      <c r="P2" s="2"/>
      <c r="Q2" s="2"/>
      <c r="R2" s="2"/>
      <c r="S2" s="2"/>
      <c r="T2" s="2"/>
      <c r="U2" s="2"/>
      <c r="V2" s="2"/>
      <c r="W2" s="2"/>
      <c r="X2" s="2"/>
      <c r="Y2" s="2"/>
      <c r="Z2" s="2"/>
      <c r="AA2" s="2"/>
      <c r="AB2" s="2"/>
      <c r="AC2" s="2"/>
      <c r="AD2" s="2"/>
      <c r="AE2" s="2"/>
      <c r="AF2" s="2"/>
      <c r="AG2" s="2"/>
      <c r="AH2" s="2"/>
      <c r="AI2" s="2"/>
      <c r="AJ2" s="2"/>
    </row>
    <row r="3" customFormat="false" ht="13.8" hidden="false" customHeight="false" outlineLevel="0" collapsed="false">
      <c r="A3" s="297" t="n">
        <v>2</v>
      </c>
      <c r="B3" s="298" t="s">
        <v>1388</v>
      </c>
      <c r="C3" s="298"/>
      <c r="E3" s="299" t="s">
        <v>1389</v>
      </c>
      <c r="F3" s="299"/>
      <c r="L3" s="2"/>
      <c r="M3" s="2"/>
      <c r="N3" s="2"/>
      <c r="O3" s="2"/>
      <c r="P3" s="2"/>
      <c r="Q3" s="2"/>
      <c r="R3" s="2"/>
      <c r="S3" s="2"/>
      <c r="T3" s="2"/>
      <c r="U3" s="2"/>
      <c r="V3" s="2"/>
      <c r="W3" s="2"/>
      <c r="X3" s="2"/>
      <c r="Y3" s="2"/>
      <c r="Z3" s="2"/>
      <c r="AA3" s="2"/>
      <c r="AB3" s="2"/>
      <c r="AC3" s="2"/>
      <c r="AD3" s="2"/>
      <c r="AE3" s="2"/>
      <c r="AF3" s="2"/>
      <c r="AG3" s="2"/>
      <c r="AH3" s="2"/>
      <c r="AI3" s="2"/>
      <c r="AJ3" s="2"/>
    </row>
    <row r="4" customFormat="false" ht="13.8" hidden="false" customHeight="false" outlineLevel="0" collapsed="false">
      <c r="A4" s="297" t="n">
        <v>3</v>
      </c>
      <c r="B4" s="298" t="s">
        <v>1388</v>
      </c>
      <c r="C4" s="298"/>
      <c r="E4" s="299" t="s">
        <v>1389</v>
      </c>
      <c r="F4" s="299"/>
      <c r="L4" s="2"/>
      <c r="M4" s="2"/>
      <c r="N4" s="2"/>
      <c r="O4" s="2"/>
      <c r="P4" s="2"/>
      <c r="Q4" s="2"/>
      <c r="R4" s="2"/>
      <c r="S4" s="2"/>
      <c r="T4" s="2"/>
      <c r="U4" s="2"/>
      <c r="V4" s="2"/>
      <c r="W4" s="2"/>
      <c r="X4" s="2"/>
      <c r="Y4" s="2"/>
      <c r="Z4" s="2"/>
      <c r="AA4" s="2"/>
      <c r="AB4" s="2"/>
      <c r="AC4" s="2"/>
      <c r="AD4" s="2"/>
      <c r="AE4" s="2"/>
      <c r="AF4" s="2"/>
      <c r="AG4" s="2"/>
      <c r="AH4" s="2"/>
      <c r="AI4" s="2"/>
      <c r="AJ4" s="2"/>
    </row>
  </sheetData>
  <mergeCells count="3">
    <mergeCell ref="B2:C2"/>
    <mergeCell ref="B3:C3"/>
    <mergeCell ref="B4:C4"/>
  </mergeCells>
  <dataValidations count="1">
    <dataValidation allowBlank="true" errorStyle="stop" operator="between" showDropDown="false" showErrorMessage="true" showInputMessage="true" sqref="D2:D4" type="list">
      <formula1>$O$3:$O$7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cellIs" priority="2" operator="equal" id="{EFABC65C-4E60-4883-AD8F-749D70959E5F}">
            <xm:f>'Cell References'!$D$5</xm:f>
            <x14:dxf>
              <fill>
                <patternFill>
                  <bgColor rgb="FF00B0F0"/>
                </patternFill>
              </fill>
            </x14:dxf>
          </x14:cfRule>
          <x14:cfRule type="cellIs" priority="3" operator="equal" id="{F3AE29AA-4B70-4BCB-A73C-A07659D07BE6}">
            <xm:f>'Cell References'!$D$4</xm:f>
            <x14:dxf>
              <fill>
                <patternFill>
                  <bgColor rgb="FF92D050"/>
                </patternFill>
              </fill>
            </x14:dxf>
          </x14:cfRule>
          <x14:cfRule type="cellIs" priority="4" operator="equal" id="{902581BB-93D0-4D55-BEE7-AA176F1DD0C0}">
            <xm:f>'Cell References'!$D$8</xm:f>
            <x14:dxf>
              <fill>
                <patternFill>
                  <bgColor rgb="FFE920F8"/>
                </patternFill>
              </fill>
            </x14:dxf>
          </x14:cfRule>
          <x14:cfRule type="cellIs" priority="5" operator="equal" id="{20F09781-A28A-491B-912D-F8F9A8951558}">
            <xm:f>'Cell References'!$D$7</xm:f>
            <x14:dxf>
              <fill>
                <patternFill>
                  <bgColor rgb="FFFF0000"/>
                </patternFill>
              </fill>
            </x14:dxf>
          </x14:cfRule>
          <x14:cfRule type="cellIs" priority="6" operator="equal" id="{B8533233-AB78-4AED-BB7A-D96769CC7311}">
            <xm:f>'Cell References'!$D$6</xm:f>
            <x14:dxf>
              <fill>
                <patternFill>
                  <bgColor theme="8"/>
                </patternFill>
              </fill>
            </x14:dxf>
          </x14:cfRule>
          <xm:sqref>D1:D4</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47" activePane="bottomLeft" state="frozen"/>
      <selection pane="topLeft" activeCell="A1" activeCellId="0" sqref="A1"/>
      <selection pane="bottomLeft" activeCell="A47" activeCellId="0" sqref="A47"/>
    </sheetView>
  </sheetViews>
  <sheetFormatPr defaultColWidth="12.42578125" defaultRowHeight="15.75" zeroHeight="false" outlineLevelRow="0" outlineLevelCol="0"/>
  <cols>
    <col collapsed="false" customWidth="true" hidden="false" outlineLevel="0" max="1" min="1" style="5" width="31.15"/>
    <col collapsed="false" customWidth="true" hidden="false" outlineLevel="0" max="2" min="2" style="5" width="41.29"/>
    <col collapsed="false" customWidth="true" hidden="false" outlineLevel="0" max="5" min="3" style="5" width="11"/>
    <col collapsed="false" customWidth="true" hidden="false" outlineLevel="0" max="6" min="6" style="5" width="55.57"/>
    <col collapsed="false" customWidth="true" hidden="false" outlineLevel="0" max="7" min="7" style="5" width="16"/>
    <col collapsed="false" customWidth="true" hidden="false" outlineLevel="0" max="8" min="8" style="5" width="27.57"/>
    <col collapsed="false" customWidth="true" hidden="false" outlineLevel="0" max="9" min="9" style="5" width="18.57"/>
    <col collapsed="false" customWidth="false" hidden="false" outlineLevel="0" max="16384" min="10" style="5" width="12.42"/>
  </cols>
  <sheetData>
    <row r="1" s="230" customFormat="true" ht="15.75" hidden="false" customHeight="false" outlineLevel="0" collapsed="false">
      <c r="A1" s="295" t="s">
        <v>1390</v>
      </c>
      <c r="B1" s="295" t="s">
        <v>52</v>
      </c>
      <c r="C1" s="295" t="s">
        <v>1391</v>
      </c>
      <c r="D1" s="295" t="s">
        <v>1392</v>
      </c>
      <c r="E1" s="295" t="s">
        <v>1393</v>
      </c>
      <c r="F1" s="295" t="s">
        <v>24</v>
      </c>
      <c r="G1" s="295" t="s">
        <v>461</v>
      </c>
      <c r="H1" s="295" t="s">
        <v>1394</v>
      </c>
      <c r="I1" s="300" t="s">
        <v>1395</v>
      </c>
      <c r="K1" s="230" t="s">
        <v>1396</v>
      </c>
    </row>
    <row r="2" customFormat="false" ht="15.75" hidden="false" customHeight="false" outlineLevel="0" collapsed="false">
      <c r="A2" s="301" t="s">
        <v>555</v>
      </c>
      <c r="B2" s="301" t="s">
        <v>1397</v>
      </c>
      <c r="C2" s="301" t="n">
        <v>43232</v>
      </c>
      <c r="D2" s="301"/>
      <c r="E2" s="301"/>
      <c r="F2" s="301" t="s">
        <v>1398</v>
      </c>
      <c r="G2" s="301"/>
      <c r="H2" s="302"/>
      <c r="I2" s="24"/>
      <c r="J2" s="303"/>
      <c r="K2" s="304" t="s">
        <v>1399</v>
      </c>
    </row>
    <row r="3" customFormat="false" ht="15.75" hidden="false" customHeight="false" outlineLevel="0" collapsed="false">
      <c r="A3" s="305" t="s">
        <v>909</v>
      </c>
      <c r="B3" s="305" t="s">
        <v>1400</v>
      </c>
      <c r="C3" s="306" t="n">
        <v>43231</v>
      </c>
      <c r="D3" s="306"/>
      <c r="E3" s="306"/>
      <c r="F3" s="307" t="s">
        <v>1401</v>
      </c>
      <c r="G3" s="307"/>
      <c r="H3" s="308" t="s">
        <v>909</v>
      </c>
      <c r="I3" s="24"/>
    </row>
    <row r="4" customFormat="false" ht="26.85" hidden="false" customHeight="false" outlineLevel="0" collapsed="false">
      <c r="A4" s="305" t="s">
        <v>1402</v>
      </c>
      <c r="B4" s="309" t="s">
        <v>1403</v>
      </c>
      <c r="C4" s="305" t="n">
        <v>43228</v>
      </c>
      <c r="D4" s="305"/>
      <c r="E4" s="305"/>
      <c r="F4" s="305" t="s">
        <v>1404</v>
      </c>
      <c r="G4" s="305"/>
      <c r="H4" s="308" t="s">
        <v>1405</v>
      </c>
      <c r="I4" s="24"/>
    </row>
    <row r="5" customFormat="false" ht="15.75" hidden="false" customHeight="false" outlineLevel="0" collapsed="false">
      <c r="A5" s="310" t="s">
        <v>1406</v>
      </c>
      <c r="B5" s="310" t="s">
        <v>1407</v>
      </c>
      <c r="C5" s="310" t="n">
        <v>43227</v>
      </c>
      <c r="D5" s="310"/>
      <c r="E5" s="310"/>
      <c r="F5" s="310" t="s">
        <v>1408</v>
      </c>
      <c r="G5" s="310"/>
      <c r="H5" s="311" t="s">
        <v>1409</v>
      </c>
      <c r="I5" s="24"/>
    </row>
    <row r="6" customFormat="false" ht="15.75" hidden="false" customHeight="false" outlineLevel="0" collapsed="false">
      <c r="A6" s="305" t="s">
        <v>1410</v>
      </c>
      <c r="B6" s="305" t="s">
        <v>1411</v>
      </c>
      <c r="C6" s="306" t="n">
        <v>43222</v>
      </c>
      <c r="D6" s="306"/>
      <c r="E6" s="306"/>
      <c r="F6" s="305" t="s">
        <v>1412</v>
      </c>
      <c r="G6" s="305"/>
      <c r="H6" s="308"/>
      <c r="I6" s="24"/>
    </row>
    <row r="7" customFormat="false" ht="15.75" hidden="false" customHeight="false" outlineLevel="0" collapsed="false">
      <c r="A7" s="305" t="s">
        <v>1413</v>
      </c>
      <c r="B7" s="305" t="s">
        <v>1414</v>
      </c>
      <c r="C7" s="306" t="n">
        <v>43214</v>
      </c>
      <c r="D7" s="306"/>
      <c r="E7" s="306"/>
      <c r="F7" s="305" t="s">
        <v>1415</v>
      </c>
      <c r="G7" s="305" t="s">
        <v>514</v>
      </c>
      <c r="H7" s="308" t="s">
        <v>1416</v>
      </c>
      <c r="I7" s="24"/>
    </row>
    <row r="8" customFormat="false" ht="15.75" hidden="false" customHeight="false" outlineLevel="0" collapsed="false">
      <c r="A8" s="312" t="s">
        <v>1417</v>
      </c>
      <c r="B8" s="312" t="s">
        <v>1418</v>
      </c>
      <c r="C8" s="312" t="n">
        <v>43214</v>
      </c>
      <c r="D8" s="312"/>
      <c r="E8" s="312"/>
      <c r="F8" s="312" t="s">
        <v>1419</v>
      </c>
      <c r="G8" s="305"/>
      <c r="H8" s="308"/>
      <c r="I8" s="24"/>
    </row>
    <row r="9" customFormat="false" ht="15.75" hidden="false" customHeight="false" outlineLevel="0" collapsed="false">
      <c r="A9" s="312" t="s">
        <v>1417</v>
      </c>
      <c r="B9" s="312" t="s">
        <v>1420</v>
      </c>
      <c r="C9" s="312" t="n">
        <v>43214</v>
      </c>
      <c r="D9" s="312"/>
      <c r="E9" s="312"/>
      <c r="F9" s="312" t="s">
        <v>1419</v>
      </c>
      <c r="G9" s="305"/>
      <c r="H9" s="308"/>
      <c r="I9" s="24"/>
    </row>
    <row r="10" customFormat="false" ht="15.75" hidden="false" customHeight="false" outlineLevel="0" collapsed="false">
      <c r="A10" s="305" t="s">
        <v>1421</v>
      </c>
      <c r="B10" s="305" t="s">
        <v>1422</v>
      </c>
      <c r="C10" s="306" t="n">
        <v>43213</v>
      </c>
      <c r="D10" s="306"/>
      <c r="E10" s="306"/>
      <c r="F10" s="313" t="s">
        <v>1423</v>
      </c>
      <c r="G10" s="305" t="s">
        <v>501</v>
      </c>
      <c r="H10" s="308" t="s">
        <v>1405</v>
      </c>
      <c r="I10" s="24"/>
    </row>
    <row r="11" customFormat="false" ht="15.75" hidden="false" customHeight="false" outlineLevel="0" collapsed="false">
      <c r="A11" s="314" t="s">
        <v>909</v>
      </c>
      <c r="B11" s="314" t="s">
        <v>1424</v>
      </c>
      <c r="C11" s="315" t="n">
        <v>43211</v>
      </c>
      <c r="D11" s="315"/>
      <c r="E11" s="315"/>
      <c r="F11" s="314" t="s">
        <v>1401</v>
      </c>
      <c r="G11" s="314" t="s">
        <v>497</v>
      </c>
      <c r="H11" s="316" t="s">
        <v>909</v>
      </c>
      <c r="I11" s="24"/>
    </row>
    <row r="12" customFormat="false" ht="15.75" hidden="false" customHeight="false" outlineLevel="0" collapsed="false">
      <c r="A12" s="312" t="s">
        <v>1425</v>
      </c>
      <c r="B12" s="312" t="s">
        <v>1426</v>
      </c>
      <c r="C12" s="312" t="n">
        <v>43209</v>
      </c>
      <c r="D12" s="312"/>
      <c r="E12" s="312"/>
      <c r="F12" s="312" t="s">
        <v>1427</v>
      </c>
      <c r="G12" s="305"/>
      <c r="H12" s="317" t="s">
        <v>1409</v>
      </c>
      <c r="I12" s="24"/>
    </row>
    <row r="13" customFormat="false" ht="15.75" hidden="false" customHeight="false" outlineLevel="0" collapsed="false">
      <c r="A13" s="305" t="s">
        <v>1428</v>
      </c>
      <c r="B13" s="305" t="s">
        <v>1429</v>
      </c>
      <c r="C13" s="306" t="n">
        <v>43205</v>
      </c>
      <c r="D13" s="306"/>
      <c r="E13" s="306"/>
      <c r="F13" s="307" t="s">
        <v>1430</v>
      </c>
      <c r="G13" s="307"/>
      <c r="H13" s="308" t="s">
        <v>1431</v>
      </c>
      <c r="I13" s="24"/>
    </row>
    <row r="14" customFormat="false" ht="15.75" hidden="false" customHeight="false" outlineLevel="0" collapsed="false">
      <c r="A14" s="305" t="s">
        <v>909</v>
      </c>
      <c r="B14" s="305" t="s">
        <v>1432</v>
      </c>
      <c r="C14" s="306" t="n">
        <v>43205</v>
      </c>
      <c r="D14" s="306"/>
      <c r="E14" s="306"/>
      <c r="F14" s="307" t="s">
        <v>1401</v>
      </c>
      <c r="G14" s="307"/>
      <c r="H14" s="308" t="s">
        <v>909</v>
      </c>
      <c r="I14" s="94"/>
    </row>
    <row r="15" customFormat="false" ht="15.75" hidden="false" customHeight="false" outlineLevel="0" collapsed="false">
      <c r="A15" s="305" t="s">
        <v>909</v>
      </c>
      <c r="B15" s="305" t="s">
        <v>1433</v>
      </c>
      <c r="C15" s="305" t="n">
        <v>43214</v>
      </c>
      <c r="D15" s="305"/>
      <c r="E15" s="305"/>
      <c r="F15" s="307" t="s">
        <v>1401</v>
      </c>
      <c r="G15" s="307"/>
      <c r="H15" s="308" t="s">
        <v>909</v>
      </c>
      <c r="I15" s="24"/>
    </row>
    <row r="16" customFormat="false" ht="15.75" hidden="false" customHeight="false" outlineLevel="0" collapsed="false">
      <c r="A16" s="305" t="s">
        <v>569</v>
      </c>
      <c r="B16" s="305" t="s">
        <v>1434</v>
      </c>
      <c r="C16" s="305"/>
      <c r="D16" s="305"/>
      <c r="E16" s="305"/>
      <c r="F16" s="305" t="s">
        <v>1435</v>
      </c>
      <c r="G16" s="305"/>
      <c r="H16" s="308" t="s">
        <v>558</v>
      </c>
      <c r="I16" s="24"/>
    </row>
    <row r="17" customFormat="false" ht="15.75" hidden="false" customHeight="false" outlineLevel="0" collapsed="false">
      <c r="A17" s="310" t="s">
        <v>1436</v>
      </c>
      <c r="B17" s="310" t="s">
        <v>1437</v>
      </c>
      <c r="C17" s="310" t="n">
        <v>43212</v>
      </c>
      <c r="D17" s="310"/>
      <c r="E17" s="310"/>
      <c r="F17" s="310" t="s">
        <v>1438</v>
      </c>
      <c r="G17" s="310"/>
      <c r="H17" s="311"/>
      <c r="I17" s="24"/>
    </row>
    <row r="18" customFormat="false" ht="15.75" hidden="false" customHeight="false" outlineLevel="0" collapsed="false">
      <c r="A18" s="312" t="s">
        <v>503</v>
      </c>
      <c r="B18" s="312" t="s">
        <v>502</v>
      </c>
      <c r="C18" s="312" t="n">
        <v>43227</v>
      </c>
      <c r="D18" s="312"/>
      <c r="E18" s="312"/>
      <c r="F18" s="313" t="s">
        <v>504</v>
      </c>
      <c r="G18" s="312" t="s">
        <v>501</v>
      </c>
      <c r="H18" s="317" t="s">
        <v>1439</v>
      </c>
      <c r="I18" s="24"/>
    </row>
    <row r="19" customFormat="false" ht="15.75" hidden="false" customHeight="false" outlineLevel="0" collapsed="false">
      <c r="A19" s="301" t="s">
        <v>508</v>
      </c>
      <c r="B19" s="301" t="s">
        <v>1320</v>
      </c>
      <c r="C19" s="301" t="n">
        <v>43207</v>
      </c>
      <c r="D19" s="301"/>
      <c r="E19" s="301"/>
      <c r="F19" s="301" t="s">
        <v>1440</v>
      </c>
      <c r="G19" s="301" t="s">
        <v>506</v>
      </c>
      <c r="H19" s="302" t="s">
        <v>1439</v>
      </c>
      <c r="I19" s="24"/>
    </row>
    <row r="20" customFormat="false" ht="15.75" hidden="false" customHeight="false" outlineLevel="0" collapsed="false">
      <c r="A20" s="312" t="s">
        <v>1441</v>
      </c>
      <c r="B20" s="312" t="s">
        <v>1442</v>
      </c>
      <c r="C20" s="312" t="n">
        <v>43235</v>
      </c>
      <c r="D20" s="312"/>
      <c r="E20" s="312"/>
      <c r="F20" s="312" t="s">
        <v>1443</v>
      </c>
      <c r="G20" s="312" t="s">
        <v>1444</v>
      </c>
      <c r="H20" s="317" t="s">
        <v>1439</v>
      </c>
      <c r="I20" s="24"/>
    </row>
    <row r="21" customFormat="false" ht="15.75" hidden="false" customHeight="false" outlineLevel="0" collapsed="false">
      <c r="A21" s="312" t="s">
        <v>1445</v>
      </c>
      <c r="B21" s="312" t="s">
        <v>1446</v>
      </c>
      <c r="C21" s="312" t="n">
        <v>43137</v>
      </c>
      <c r="D21" s="312"/>
      <c r="E21" s="312"/>
      <c r="F21" s="312" t="s">
        <v>1447</v>
      </c>
      <c r="G21" s="312" t="s">
        <v>1448</v>
      </c>
      <c r="H21" s="317" t="s">
        <v>1439</v>
      </c>
      <c r="I21" s="24"/>
    </row>
    <row r="22" customFormat="false" ht="15.75" hidden="false" customHeight="false" outlineLevel="0" collapsed="false">
      <c r="A22" s="312" t="s">
        <v>1449</v>
      </c>
      <c r="B22" s="305"/>
      <c r="C22" s="312" t="n">
        <v>43229</v>
      </c>
      <c r="D22" s="312"/>
      <c r="E22" s="312"/>
      <c r="F22" s="312" t="s">
        <v>1450</v>
      </c>
      <c r="G22" s="305"/>
      <c r="H22" s="317" t="s">
        <v>1439</v>
      </c>
      <c r="I22" s="24"/>
    </row>
    <row r="23" customFormat="false" ht="15.75" hidden="false" customHeight="false" outlineLevel="0" collapsed="false">
      <c r="A23" s="312" t="s">
        <v>1451</v>
      </c>
      <c r="B23" s="312" t="s">
        <v>1452</v>
      </c>
      <c r="C23" s="312" t="n">
        <v>43224</v>
      </c>
      <c r="D23" s="312"/>
      <c r="E23" s="312"/>
      <c r="F23" s="312" t="s">
        <v>1453</v>
      </c>
      <c r="G23" s="312" t="s">
        <v>652</v>
      </c>
      <c r="H23" s="317" t="s">
        <v>1454</v>
      </c>
      <c r="I23" s="24"/>
    </row>
    <row r="24" customFormat="false" ht="15.75" hidden="false" customHeight="false" outlineLevel="0" collapsed="false">
      <c r="A24" s="310" t="s">
        <v>499</v>
      </c>
      <c r="B24" s="310" t="s">
        <v>1318</v>
      </c>
      <c r="C24" s="310" t="n">
        <v>43211</v>
      </c>
      <c r="D24" s="310"/>
      <c r="E24" s="310"/>
      <c r="F24" s="310" t="s">
        <v>1455</v>
      </c>
      <c r="G24" s="310" t="s">
        <v>497</v>
      </c>
      <c r="H24" s="311" t="s">
        <v>1456</v>
      </c>
      <c r="I24" s="24"/>
    </row>
    <row r="25" customFormat="false" ht="15.75" hidden="false" customHeight="false" outlineLevel="0" collapsed="false">
      <c r="A25" s="312" t="s">
        <v>494</v>
      </c>
      <c r="B25" s="312" t="s">
        <v>1457</v>
      </c>
      <c r="C25" s="312" t="n">
        <v>43212</v>
      </c>
      <c r="D25" s="312"/>
      <c r="E25" s="312"/>
      <c r="F25" s="312" t="s">
        <v>1458</v>
      </c>
      <c r="G25" s="312" t="s">
        <v>491</v>
      </c>
      <c r="H25" s="317" t="s">
        <v>1459</v>
      </c>
      <c r="I25" s="24"/>
    </row>
    <row r="26" customFormat="false" ht="15.75" hidden="false" customHeight="false" outlineLevel="0" collapsed="false">
      <c r="A26" s="301" t="s">
        <v>494</v>
      </c>
      <c r="B26" s="301" t="s">
        <v>492</v>
      </c>
      <c r="C26" s="301" t="n">
        <v>43212</v>
      </c>
      <c r="D26" s="301"/>
      <c r="E26" s="301"/>
      <c r="F26" s="301" t="s">
        <v>1458</v>
      </c>
      <c r="G26" s="301" t="s">
        <v>491</v>
      </c>
      <c r="H26" s="302" t="s">
        <v>1459</v>
      </c>
      <c r="I26" s="24"/>
    </row>
    <row r="27" customFormat="false" ht="15.75" hidden="false" customHeight="false" outlineLevel="0" collapsed="false">
      <c r="A27" s="312" t="s">
        <v>1460</v>
      </c>
      <c r="B27" s="312" t="s">
        <v>1354</v>
      </c>
      <c r="C27" s="312" t="n">
        <v>43123</v>
      </c>
      <c r="D27" s="312"/>
      <c r="E27" s="312"/>
      <c r="F27" s="312" t="s">
        <v>1461</v>
      </c>
      <c r="G27" s="312" t="s">
        <v>572</v>
      </c>
      <c r="H27" s="317" t="s">
        <v>1462</v>
      </c>
      <c r="I27" s="24"/>
    </row>
    <row r="28" customFormat="false" ht="15.75" hidden="false" customHeight="false" outlineLevel="0" collapsed="false">
      <c r="A28" s="310" t="s">
        <v>1463</v>
      </c>
      <c r="B28" s="318" t="s">
        <v>1464</v>
      </c>
      <c r="C28" s="310" t="n">
        <v>43211</v>
      </c>
      <c r="D28" s="310"/>
      <c r="E28" s="310"/>
      <c r="F28" s="319" t="s">
        <v>1465</v>
      </c>
      <c r="G28" s="310" t="s">
        <v>497</v>
      </c>
      <c r="H28" s="311" t="s">
        <v>1466</v>
      </c>
      <c r="I28" s="24"/>
    </row>
    <row r="29" customFormat="false" ht="15.75" hidden="false" customHeight="false" outlineLevel="0" collapsed="false">
      <c r="A29" s="301" t="s">
        <v>537</v>
      </c>
      <c r="B29" s="320" t="s">
        <v>1467</v>
      </c>
      <c r="C29" s="301" t="n">
        <v>43202</v>
      </c>
      <c r="D29" s="301"/>
      <c r="E29" s="301"/>
      <c r="F29" s="301" t="s">
        <v>1468</v>
      </c>
      <c r="G29" s="301" t="s">
        <v>514</v>
      </c>
      <c r="H29" s="302" t="s">
        <v>1469</v>
      </c>
      <c r="I29" s="24"/>
    </row>
    <row r="30" customFormat="false" ht="15.75" hidden="false" customHeight="false" outlineLevel="0" collapsed="false">
      <c r="A30" s="312" t="s">
        <v>1470</v>
      </c>
      <c r="B30" s="312" t="s">
        <v>1471</v>
      </c>
      <c r="C30" s="312" t="n">
        <v>43219</v>
      </c>
      <c r="D30" s="312"/>
      <c r="E30" s="312"/>
      <c r="F30" s="312" t="s">
        <v>1472</v>
      </c>
      <c r="G30" s="312" t="s">
        <v>1473</v>
      </c>
      <c r="H30" s="317" t="s">
        <v>24</v>
      </c>
      <c r="I30" s="24"/>
    </row>
    <row r="31" customFormat="false" ht="15.75" hidden="false" customHeight="false" outlineLevel="0" collapsed="false">
      <c r="A31" s="312" t="s">
        <v>1474</v>
      </c>
      <c r="B31" s="312" t="s">
        <v>1475</v>
      </c>
      <c r="C31" s="312" t="n">
        <v>43136</v>
      </c>
      <c r="D31" s="312"/>
      <c r="E31" s="312"/>
      <c r="F31" s="312" t="s">
        <v>1476</v>
      </c>
      <c r="G31" s="312" t="s">
        <v>1475</v>
      </c>
      <c r="H31" s="317" t="s">
        <v>1477</v>
      </c>
      <c r="I31" s="94" t="n">
        <v>6147749410</v>
      </c>
    </row>
    <row r="32" customFormat="false" ht="15.75" hidden="false" customHeight="false" outlineLevel="0" collapsed="false">
      <c r="A32" s="312" t="s">
        <v>569</v>
      </c>
      <c r="B32" s="312" t="s">
        <v>1478</v>
      </c>
      <c r="C32" s="312" t="n">
        <v>43222</v>
      </c>
      <c r="D32" s="312"/>
      <c r="E32" s="312"/>
      <c r="F32" s="312" t="s">
        <v>1435</v>
      </c>
      <c r="G32" s="312" t="s">
        <v>558</v>
      </c>
      <c r="H32" s="317" t="s">
        <v>1479</v>
      </c>
      <c r="I32" s="24"/>
    </row>
    <row r="33" customFormat="false" ht="15.75" hidden="false" customHeight="false" outlineLevel="0" collapsed="false">
      <c r="A33" s="312" t="s">
        <v>1480</v>
      </c>
      <c r="B33" s="312" t="s">
        <v>1481</v>
      </c>
      <c r="C33" s="312" t="n">
        <v>43211</v>
      </c>
      <c r="D33" s="312"/>
      <c r="E33" s="312"/>
      <c r="F33" s="305"/>
      <c r="G33" s="312" t="s">
        <v>497</v>
      </c>
      <c r="H33" s="308"/>
      <c r="I33" s="94" t="n">
        <v>6143095548</v>
      </c>
    </row>
    <row r="34" customFormat="false" ht="15.75" hidden="false" customHeight="true" outlineLevel="0" collapsed="false">
      <c r="A34" s="305" t="s">
        <v>1482</v>
      </c>
      <c r="B34" s="305" t="s">
        <v>1483</v>
      </c>
      <c r="C34" s="305" t="n">
        <v>43228</v>
      </c>
      <c r="D34" s="305"/>
      <c r="E34" s="305"/>
      <c r="F34" s="321"/>
      <c r="G34" s="305" t="s">
        <v>1484</v>
      </c>
      <c r="H34" s="308" t="s">
        <v>1485</v>
      </c>
      <c r="I34" s="24"/>
    </row>
    <row r="35" customFormat="false" ht="15.75" hidden="false" customHeight="true" outlineLevel="0" collapsed="false">
      <c r="A35" s="322" t="s">
        <v>1486</v>
      </c>
      <c r="B35" s="322" t="s">
        <v>1487</v>
      </c>
      <c r="C35" s="305" t="n">
        <v>43205</v>
      </c>
      <c r="D35" s="305"/>
      <c r="E35" s="305"/>
      <c r="F35" s="321"/>
      <c r="G35" s="305" t="s">
        <v>620</v>
      </c>
      <c r="H35" s="308" t="s">
        <v>1485</v>
      </c>
      <c r="I35" s="24"/>
    </row>
    <row r="36" customFormat="false" ht="15.75" hidden="false" customHeight="true" outlineLevel="0" collapsed="false">
      <c r="A36" s="305"/>
      <c r="B36" s="305"/>
      <c r="C36" s="305"/>
      <c r="D36" s="305"/>
      <c r="E36" s="305"/>
      <c r="F36" s="321"/>
      <c r="G36" s="305"/>
      <c r="H36" s="308"/>
      <c r="I36" s="24"/>
    </row>
    <row r="37" s="324" customFormat="true" ht="24" hidden="false" customHeight="true" outlineLevel="0" collapsed="false">
      <c r="A37" s="323" t="s">
        <v>1488</v>
      </c>
      <c r="B37" s="323"/>
      <c r="C37" s="323"/>
      <c r="D37" s="323"/>
      <c r="E37" s="323"/>
      <c r="F37" s="323"/>
      <c r="G37" s="323"/>
      <c r="H37" s="323"/>
      <c r="I37" s="323"/>
    </row>
    <row r="38" s="253" customFormat="true" ht="24.75" hidden="false" customHeight="true" outlineLevel="0" collapsed="false">
      <c r="A38" s="325" t="s">
        <v>1489</v>
      </c>
      <c r="B38" s="326" t="s">
        <v>1490</v>
      </c>
      <c r="C38" s="325" t="n">
        <v>43207</v>
      </c>
      <c r="D38" s="325"/>
      <c r="E38" s="325"/>
      <c r="F38" s="327"/>
      <c r="G38" s="325"/>
      <c r="H38" s="325"/>
      <c r="I38" s="328"/>
    </row>
    <row r="39" customFormat="false" ht="15.75" hidden="false" customHeight="true" outlineLevel="0" collapsed="false">
      <c r="A39" s="305" t="s">
        <v>1491</v>
      </c>
      <c r="B39" s="305" t="s">
        <v>1492</v>
      </c>
      <c r="C39" s="305" t="n">
        <v>43206</v>
      </c>
      <c r="D39" s="305" t="n">
        <v>39.93541</v>
      </c>
      <c r="E39" s="305" t="n">
        <v>-82.99483</v>
      </c>
      <c r="F39" s="321" t="s">
        <v>1493</v>
      </c>
      <c r="G39" s="305"/>
      <c r="H39" s="305" t="s">
        <v>1494</v>
      </c>
      <c r="I39" s="24"/>
    </row>
    <row r="40" customFormat="false" ht="15.75" hidden="false" customHeight="true" outlineLevel="0" collapsed="false">
      <c r="A40" s="305" t="s">
        <v>1495</v>
      </c>
      <c r="B40" s="305" t="s">
        <v>665</v>
      </c>
      <c r="C40" s="305"/>
      <c r="D40" s="305" t="n">
        <v>40.054111</v>
      </c>
      <c r="E40" s="305" t="n">
        <v>-82.96286</v>
      </c>
      <c r="F40" s="305" t="s">
        <v>1496</v>
      </c>
      <c r="G40" s="305"/>
      <c r="H40" s="305"/>
      <c r="I40" s="24"/>
    </row>
    <row r="41" customFormat="false" ht="15.75" hidden="false" customHeight="true" outlineLevel="0" collapsed="false">
      <c r="A41" s="305" t="s">
        <v>1497</v>
      </c>
      <c r="B41" s="13" t="s">
        <v>1498</v>
      </c>
      <c r="C41" s="305" t="n">
        <v>43228</v>
      </c>
      <c r="D41" s="305" t="n">
        <v>39.9331</v>
      </c>
      <c r="E41" s="305" t="n">
        <v>-83.13655</v>
      </c>
      <c r="F41" s="305" t="s">
        <v>1499</v>
      </c>
      <c r="G41" s="305"/>
      <c r="H41" s="305"/>
      <c r="I41" s="24"/>
    </row>
    <row r="42" customFormat="false" ht="15.75" hidden="false" customHeight="true" outlineLevel="0" collapsed="false">
      <c r="A42" s="329" t="s">
        <v>1500</v>
      </c>
      <c r="B42" s="329" t="s">
        <v>1501</v>
      </c>
      <c r="C42" s="329"/>
      <c r="D42" s="329" t="n">
        <v>40.074646</v>
      </c>
      <c r="E42" s="329" t="n">
        <v>-82.945636</v>
      </c>
      <c r="F42" s="305" t="s">
        <v>1502</v>
      </c>
      <c r="G42" s="305"/>
      <c r="H42" s="305"/>
      <c r="I42" s="24"/>
    </row>
    <row r="43" customFormat="false" ht="15.75" hidden="false" customHeight="true" outlineLevel="0" collapsed="false">
      <c r="A43" s="305" t="s">
        <v>1503</v>
      </c>
      <c r="B43" s="330" t="s">
        <v>1504</v>
      </c>
      <c r="C43" s="305"/>
      <c r="D43" s="305" t="n">
        <v>39.99211</v>
      </c>
      <c r="E43" s="305" t="n">
        <v>-83.0181</v>
      </c>
      <c r="F43" s="305" t="s">
        <v>1505</v>
      </c>
      <c r="G43" s="305"/>
      <c r="H43" s="305"/>
      <c r="I43" s="24"/>
    </row>
    <row r="44" customFormat="false" ht="15.75" hidden="false" customHeight="true" outlineLevel="0" collapsed="false">
      <c r="A44" s="329" t="s">
        <v>1506</v>
      </c>
      <c r="B44" s="329" t="s">
        <v>1507</v>
      </c>
      <c r="C44" s="329"/>
      <c r="D44" s="329"/>
      <c r="E44" s="329"/>
      <c r="F44" s="305"/>
      <c r="G44" s="305"/>
      <c r="H44" s="305"/>
      <c r="I44" s="24"/>
    </row>
    <row r="45" customFormat="false" ht="15.75" hidden="false" customHeight="true" outlineLevel="0" collapsed="false">
      <c r="A45" s="305" t="s">
        <v>1508</v>
      </c>
      <c r="B45" s="331" t="s">
        <v>1509</v>
      </c>
      <c r="C45" s="305" t="n">
        <v>43235</v>
      </c>
      <c r="D45" s="305" t="n">
        <v>40.07182</v>
      </c>
      <c r="E45" s="305" t="n">
        <v>-83.07864</v>
      </c>
      <c r="F45" s="305" t="s">
        <v>1510</v>
      </c>
      <c r="G45" s="305"/>
      <c r="H45" s="305"/>
      <c r="I45" s="24"/>
    </row>
    <row r="46" customFormat="false" ht="15.75" hidden="false" customHeight="true" outlineLevel="0" collapsed="false">
      <c r="A46" s="329" t="s">
        <v>1511</v>
      </c>
      <c r="B46" s="329" t="s">
        <v>1512</v>
      </c>
      <c r="C46" s="329"/>
      <c r="D46" s="329" t="n">
        <v>40.021972</v>
      </c>
      <c r="E46" s="329" t="n">
        <v>-83.033194</v>
      </c>
      <c r="F46" s="305" t="s">
        <v>1513</v>
      </c>
      <c r="G46" s="305"/>
      <c r="H46" s="305"/>
      <c r="I46" s="24"/>
    </row>
    <row r="47" customFormat="false" ht="15.75" hidden="false" customHeight="true" outlineLevel="0" collapsed="false">
      <c r="A47" s="305" t="s">
        <v>1514</v>
      </c>
      <c r="B47" s="305" t="s">
        <v>1515</v>
      </c>
      <c r="C47" s="305" t="n">
        <v>43125</v>
      </c>
      <c r="D47" s="332" t="n">
        <v>39.87797</v>
      </c>
      <c r="E47" s="332" t="n">
        <v>-82.88289</v>
      </c>
      <c r="F47" s="305" t="s">
        <v>1516</v>
      </c>
      <c r="G47" s="305"/>
      <c r="H47" s="305" t="s">
        <v>1517</v>
      </c>
      <c r="I47" s="24"/>
    </row>
    <row r="48" customFormat="false" ht="15.75" hidden="false" customHeight="true" outlineLevel="0" collapsed="false">
      <c r="A48" s="305" t="s">
        <v>1514</v>
      </c>
      <c r="B48" s="22" t="s">
        <v>1518</v>
      </c>
      <c r="C48" s="305" t="n">
        <v>43110</v>
      </c>
      <c r="D48" s="332" t="n">
        <v>39.84671</v>
      </c>
      <c r="E48" s="305" t="n">
        <v>-82.82854</v>
      </c>
      <c r="F48" s="305" t="s">
        <v>1519</v>
      </c>
      <c r="G48" s="305"/>
      <c r="H48" s="305" t="s">
        <v>1517</v>
      </c>
      <c r="I48" s="24"/>
    </row>
    <row r="49" customFormat="false" ht="15.75" hidden="false" customHeight="true" outlineLevel="0" collapsed="false">
      <c r="A49" s="305" t="s">
        <v>1514</v>
      </c>
      <c r="B49" s="22" t="s">
        <v>1520</v>
      </c>
      <c r="C49" s="305" t="n">
        <v>43232</v>
      </c>
      <c r="D49" s="332" t="n">
        <v>39.90993</v>
      </c>
      <c r="E49" s="332" t="n">
        <v>-82.86457</v>
      </c>
      <c r="F49" s="305" t="s">
        <v>1521</v>
      </c>
      <c r="G49" s="305"/>
      <c r="H49" s="305" t="s">
        <v>1517</v>
      </c>
      <c r="I49" s="24"/>
    </row>
    <row r="50" customFormat="false" ht="15.75" hidden="false" customHeight="true" outlineLevel="0" collapsed="false">
      <c r="A50" s="305" t="s">
        <v>1514</v>
      </c>
      <c r="B50" s="22" t="s">
        <v>1522</v>
      </c>
      <c r="C50" s="305" t="n">
        <v>43110</v>
      </c>
      <c r="D50" s="332" t="n">
        <v>39.87378</v>
      </c>
      <c r="E50" s="332" t="n">
        <v>-82.87294</v>
      </c>
      <c r="F50" s="305" t="s">
        <v>1523</v>
      </c>
      <c r="G50" s="305"/>
      <c r="H50" s="305"/>
      <c r="I50" s="24"/>
    </row>
    <row r="51" customFormat="false" ht="15.75" hidden="false" customHeight="true" outlineLevel="0" collapsed="false">
      <c r="A51" s="333" t="s">
        <v>1524</v>
      </c>
      <c r="B51" s="329"/>
      <c r="C51" s="329"/>
      <c r="D51" s="329"/>
      <c r="E51" s="329"/>
      <c r="F51" s="305"/>
      <c r="G51" s="305"/>
      <c r="H51" s="305" t="s">
        <v>1525</v>
      </c>
      <c r="I51" s="24"/>
    </row>
    <row r="52" customFormat="false" ht="15.75" hidden="false" customHeight="true" outlineLevel="0" collapsed="false">
      <c r="A52" s="334" t="s">
        <v>1526</v>
      </c>
      <c r="B52" s="305" t="s">
        <v>1527</v>
      </c>
      <c r="C52" s="305" t="n">
        <v>43229</v>
      </c>
      <c r="D52" s="332" t="n">
        <v>40.06995</v>
      </c>
      <c r="E52" s="332" t="n">
        <v>-82.97247</v>
      </c>
      <c r="F52" s="305" t="s">
        <v>1528</v>
      </c>
      <c r="G52" s="305"/>
      <c r="H52" s="305"/>
      <c r="I52" s="24"/>
    </row>
    <row r="53" customFormat="false" ht="15.75" hidden="false" customHeight="true" outlineLevel="0" collapsed="false">
      <c r="A53" s="334" t="s">
        <v>1529</v>
      </c>
      <c r="B53" s="305" t="s">
        <v>1530</v>
      </c>
      <c r="C53" s="305" t="n">
        <v>43123</v>
      </c>
      <c r="D53" s="332" t="n">
        <v>39.87329</v>
      </c>
      <c r="E53" s="305" t="n">
        <v>-83.0913</v>
      </c>
      <c r="F53" s="305" t="s">
        <v>1531</v>
      </c>
      <c r="G53" s="305"/>
      <c r="H53" s="305"/>
      <c r="I53" s="24"/>
    </row>
    <row r="54" customFormat="false" ht="15.75" hidden="false" customHeight="true" outlineLevel="0" collapsed="false">
      <c r="A54" s="334" t="s">
        <v>1532</v>
      </c>
      <c r="B54" s="305" t="s">
        <v>1533</v>
      </c>
      <c r="C54" s="305" t="n">
        <v>43119</v>
      </c>
      <c r="D54" s="332" t="n">
        <v>39.957</v>
      </c>
      <c r="E54" s="305" t="n">
        <v>-83.14749</v>
      </c>
      <c r="F54" s="305" t="s">
        <v>1534</v>
      </c>
      <c r="G54" s="305"/>
      <c r="H54" s="305"/>
      <c r="I54" s="24"/>
    </row>
    <row r="55" customFormat="false" ht="15.75" hidden="false" customHeight="true" outlineLevel="0" collapsed="false">
      <c r="A55" s="333" t="s">
        <v>1535</v>
      </c>
      <c r="B55" s="329" t="s">
        <v>1536</v>
      </c>
      <c r="C55" s="329"/>
      <c r="D55" s="329" t="n">
        <v>40.025583</v>
      </c>
      <c r="E55" s="329" t="n">
        <v>83.098</v>
      </c>
      <c r="F55" s="305" t="s">
        <v>1537</v>
      </c>
      <c r="G55" s="305"/>
      <c r="H55" s="305"/>
      <c r="I55" s="24"/>
    </row>
    <row r="56" customFormat="false" ht="15.75" hidden="false" customHeight="true" outlineLevel="0" collapsed="false">
      <c r="A56" s="334" t="s">
        <v>1538</v>
      </c>
      <c r="B56" s="305" t="s">
        <v>1539</v>
      </c>
      <c r="C56" s="305" t="n">
        <v>43223</v>
      </c>
      <c r="D56" s="332" t="n">
        <v>39.93899</v>
      </c>
      <c r="E56" s="305" t="n">
        <v>-83.04559</v>
      </c>
      <c r="F56" s="305" t="s">
        <v>1540</v>
      </c>
      <c r="G56" s="305"/>
      <c r="H56" s="305"/>
      <c r="I56" s="24"/>
    </row>
    <row r="57" customFormat="false" ht="15.75" hidden="false" customHeight="true" outlineLevel="0" collapsed="false">
      <c r="A57" s="334"/>
      <c r="B57" s="305" t="s">
        <v>1541</v>
      </c>
      <c r="C57" s="305" t="n">
        <v>43124</v>
      </c>
      <c r="D57" s="332" t="n">
        <v>40.05088</v>
      </c>
      <c r="E57" s="305" t="n">
        <v>-83.03803</v>
      </c>
      <c r="F57" s="305" t="s">
        <v>1542</v>
      </c>
      <c r="G57" s="305"/>
      <c r="H57" s="305"/>
      <c r="I57" s="24"/>
    </row>
    <row r="58" customFormat="false" ht="15.75" hidden="false" customHeight="true" outlineLevel="0" collapsed="false">
      <c r="A58" s="334"/>
      <c r="B58" s="305" t="s">
        <v>689</v>
      </c>
      <c r="C58" s="305"/>
      <c r="D58" s="332" t="n">
        <v>40.07959</v>
      </c>
      <c r="E58" s="305" t="n">
        <v>-82.99297</v>
      </c>
      <c r="F58" s="305" t="s">
        <v>1543</v>
      </c>
      <c r="G58" s="305"/>
      <c r="H58" s="305"/>
      <c r="I58" s="24"/>
    </row>
    <row r="59" customFormat="false" ht="15.75" hidden="false" customHeight="true" outlineLevel="0" collapsed="false">
      <c r="A59" s="334"/>
      <c r="B59" s="305" t="s">
        <v>1544</v>
      </c>
      <c r="C59" s="305"/>
      <c r="D59" s="332" t="n">
        <v>40.09418</v>
      </c>
      <c r="E59" s="305" t="n">
        <v>-82.96754</v>
      </c>
      <c r="F59" s="305" t="s">
        <v>1545</v>
      </c>
      <c r="G59" s="305"/>
      <c r="H59" s="305"/>
      <c r="I59" s="24"/>
    </row>
    <row r="60" customFormat="false" ht="15.75" hidden="false" customHeight="true" outlineLevel="0" collapsed="false">
      <c r="A60" s="24"/>
      <c r="B60" s="334"/>
      <c r="C60" s="305"/>
      <c r="D60" s="305"/>
      <c r="E60" s="305"/>
      <c r="F60" s="305"/>
      <c r="G60" s="305"/>
      <c r="H60" s="305"/>
      <c r="I60" s="305"/>
      <c r="J60" s="335"/>
    </row>
    <row r="61" customFormat="false" ht="15.75" hidden="false" customHeight="true" outlineLevel="0" collapsed="false">
      <c r="A61" s="24"/>
      <c r="B61" s="334"/>
      <c r="C61" s="305"/>
      <c r="D61" s="305"/>
      <c r="E61" s="305"/>
      <c r="F61" s="305"/>
      <c r="G61" s="305"/>
      <c r="H61" s="305"/>
      <c r="I61" s="305"/>
      <c r="J61" s="335"/>
    </row>
    <row r="62" customFormat="false" ht="15.75" hidden="false" customHeight="true" outlineLevel="0" collapsed="false">
      <c r="A62" s="24"/>
      <c r="B62" s="334"/>
      <c r="C62" s="305"/>
      <c r="D62" s="305"/>
      <c r="E62" s="305"/>
      <c r="F62" s="305"/>
      <c r="G62" s="305"/>
      <c r="H62" s="305"/>
      <c r="I62" s="305"/>
      <c r="J62" s="335"/>
    </row>
    <row r="63" customFormat="false" ht="15.75" hidden="false" customHeight="true" outlineLevel="0" collapsed="false">
      <c r="A63" s="24"/>
      <c r="B63" s="334"/>
      <c r="C63" s="305"/>
      <c r="D63" s="305"/>
      <c r="E63" s="305"/>
      <c r="F63" s="305"/>
      <c r="G63" s="305"/>
      <c r="H63" s="305"/>
      <c r="I63" s="305"/>
      <c r="J63" s="335"/>
    </row>
    <row r="64" customFormat="false" ht="15.75" hidden="false" customHeight="true" outlineLevel="0" collapsed="false">
      <c r="A64" s="24"/>
      <c r="B64" s="334"/>
      <c r="C64" s="305"/>
      <c r="D64" s="305"/>
      <c r="E64" s="305"/>
      <c r="F64" s="305"/>
      <c r="G64" s="305"/>
      <c r="H64" s="305"/>
      <c r="I64" s="305"/>
      <c r="J64" s="335"/>
    </row>
    <row r="65" customFormat="false" ht="15.75" hidden="false" customHeight="true" outlineLevel="0" collapsed="false">
      <c r="A65" s="24"/>
      <c r="B65" s="334"/>
      <c r="C65" s="305"/>
      <c r="D65" s="305"/>
      <c r="E65" s="305"/>
      <c r="F65" s="305"/>
      <c r="G65" s="305"/>
      <c r="H65" s="305"/>
      <c r="I65" s="305"/>
      <c r="J65" s="335"/>
    </row>
    <row r="66" customFormat="false" ht="15.75" hidden="false" customHeight="true" outlineLevel="0" collapsed="false">
      <c r="A66" s="24"/>
      <c r="B66" s="334"/>
      <c r="C66" s="305"/>
      <c r="D66" s="305"/>
      <c r="E66" s="305"/>
      <c r="F66" s="305"/>
      <c r="G66" s="305"/>
      <c r="H66" s="305"/>
      <c r="I66" s="305"/>
      <c r="J66" s="335"/>
    </row>
    <row r="67" customFormat="false" ht="15.75" hidden="false" customHeight="true" outlineLevel="0" collapsed="false">
      <c r="A67" s="24"/>
      <c r="B67" s="334"/>
      <c r="C67" s="305"/>
      <c r="D67" s="305"/>
      <c r="E67" s="305"/>
      <c r="F67" s="305"/>
      <c r="G67" s="305"/>
      <c r="H67" s="305"/>
      <c r="I67" s="305"/>
      <c r="J67" s="335"/>
    </row>
    <row r="68" customFormat="false" ht="15.75" hidden="false" customHeight="false" outlineLevel="0" collapsed="false">
      <c r="A68" s="336" t="s">
        <v>1546</v>
      </c>
      <c r="B68" s="305"/>
      <c r="C68" s="305"/>
      <c r="D68" s="305"/>
      <c r="E68" s="305"/>
      <c r="F68" s="305"/>
      <c r="G68" s="305"/>
      <c r="H68" s="305"/>
      <c r="I68" s="24"/>
    </row>
    <row r="69" customFormat="false" ht="15.75" hidden="false" customHeight="false" outlineLevel="0" collapsed="false">
      <c r="A69" s="312" t="s">
        <v>1547</v>
      </c>
      <c r="B69" s="305"/>
      <c r="C69" s="305"/>
      <c r="D69" s="305"/>
      <c r="E69" s="305"/>
      <c r="F69" s="305"/>
      <c r="G69" s="305"/>
      <c r="H69" s="305"/>
      <c r="I69" s="24"/>
    </row>
    <row r="70" customFormat="false" ht="15.75" hidden="false" customHeight="false" outlineLevel="0" collapsed="false">
      <c r="A70" s="312" t="s">
        <v>1548</v>
      </c>
      <c r="B70" s="305"/>
      <c r="C70" s="305"/>
      <c r="D70" s="305"/>
      <c r="E70" s="305"/>
      <c r="F70" s="305"/>
      <c r="G70" s="305"/>
      <c r="H70" s="305"/>
      <c r="I70" s="24"/>
    </row>
    <row r="71" customFormat="false" ht="15.75" hidden="false" customHeight="false" outlineLevel="0" collapsed="false">
      <c r="A71" s="312" t="s">
        <v>1549</v>
      </c>
      <c r="B71" s="305"/>
      <c r="C71" s="305"/>
      <c r="D71" s="305"/>
      <c r="E71" s="305"/>
      <c r="F71" s="305"/>
      <c r="G71" s="305"/>
      <c r="H71" s="305"/>
      <c r="I71" s="24"/>
    </row>
    <row r="72" customFormat="false" ht="15.75" hidden="false" customHeight="false" outlineLevel="0" collapsed="false">
      <c r="A72" s="312" t="s">
        <v>1550</v>
      </c>
      <c r="B72" s="305"/>
      <c r="C72" s="305"/>
      <c r="D72" s="305"/>
      <c r="E72" s="305"/>
      <c r="F72" s="305"/>
      <c r="G72" s="305"/>
      <c r="H72" s="305"/>
      <c r="I72" s="24"/>
    </row>
  </sheetData>
  <mergeCells count="5">
    <mergeCell ref="F3:G3"/>
    <mergeCell ref="F13:G13"/>
    <mergeCell ref="F14:G14"/>
    <mergeCell ref="F15:G15"/>
    <mergeCell ref="A37:I37"/>
  </mergeCells>
  <hyperlinks>
    <hyperlink ref="K2" r:id="rId1" display="https://www.google.com/maps/d/edit?hl=en&amp;hl=en&amp;mid=1K1EHvdKbWaSVJ6bSEk0Gi2y4etZga1ga&amp;ll=40.022036292738534%2C-82.97500179848956&amp;z=11"/>
    <hyperlink ref="F10" r:id="rId2" display="Doug Shoemaker &lt;shoemakerd@wcsrams.org&gt;"/>
    <hyperlink ref="F18" r:id="rId3" display="bflycook@aol.com"/>
    <hyperlink ref="F28" r:id="rId4" display="CMScannell@columbus.gov"/>
  </hyperlinks>
  <printOptions headings="false" gridLines="false" gridLinesSet="true" horizontalCentered="false" verticalCentered="false"/>
  <pageMargins left="0" right="0" top="0" bottom="0"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8.6796875" defaultRowHeight="12.75" zeroHeight="false" outlineLevelRow="0" outlineLevelCol="0"/>
  <cols>
    <col collapsed="false" customWidth="true" hidden="false" outlineLevel="0" max="1" min="1" style="0" width="21"/>
    <col collapsed="false" customWidth="true" hidden="false" outlineLevel="0" max="2" min="2" style="0" width="22.71"/>
    <col collapsed="false" customWidth="true" hidden="false" outlineLevel="0" max="3" min="3" style="0" width="17.15"/>
    <col collapsed="false" customWidth="true" hidden="false" outlineLevel="0" max="4" min="4" style="0" width="19.42"/>
    <col collapsed="false" customWidth="true" hidden="false" outlineLevel="0" max="5" min="5" style="0" width="22.29"/>
    <col collapsed="false" customWidth="true" hidden="false" outlineLevel="0" max="6" min="6" style="0" width="40.29"/>
  </cols>
  <sheetData>
    <row r="1" customFormat="false" ht="12.75" hidden="false" customHeight="false" outlineLevel="0" collapsed="false">
      <c r="A1" s="0" t="s">
        <v>1551</v>
      </c>
      <c r="B1" s="0" t="s">
        <v>24</v>
      </c>
      <c r="C1" s="0" t="s">
        <v>467</v>
      </c>
      <c r="D1" s="0" t="s">
        <v>1552</v>
      </c>
      <c r="E1" s="0" t="s">
        <v>1553</v>
      </c>
      <c r="F1" s="0" t="s">
        <v>1554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1" activeCellId="0" sqref="F11"/>
    </sheetView>
  </sheetViews>
  <sheetFormatPr defaultColWidth="12.42578125" defaultRowHeight="15.75" zeroHeight="false" outlineLevelRow="0" outlineLevelCol="0"/>
  <cols>
    <col collapsed="false" customWidth="true" hidden="false" outlineLevel="0" max="2" min="2" style="0" width="46.29"/>
    <col collapsed="false" customWidth="true" hidden="false" outlineLevel="0" max="3" min="3" style="0" width="25.85"/>
    <col collapsed="false" customWidth="true" hidden="false" outlineLevel="0" max="4" min="4" style="0" width="15.85"/>
    <col collapsed="false" customWidth="true" hidden="false" outlineLevel="0" max="5" min="5" style="0" width="19.29"/>
    <col collapsed="false" customWidth="true" hidden="false" outlineLevel="0" max="8" min="8" style="0" width="25.85"/>
  </cols>
  <sheetData>
    <row r="1" s="230" customFormat="true" ht="28.5" hidden="false" customHeight="true" outlineLevel="0" collapsed="false">
      <c r="A1" s="226" t="s">
        <v>1391</v>
      </c>
      <c r="B1" s="226" t="s">
        <v>1555</v>
      </c>
      <c r="C1" s="226" t="s">
        <v>1556</v>
      </c>
      <c r="D1" s="224" t="s">
        <v>1557</v>
      </c>
      <c r="E1" s="224" t="s">
        <v>1558</v>
      </c>
      <c r="F1" s="226" t="s">
        <v>1559</v>
      </c>
      <c r="G1" s="226"/>
      <c r="H1" s="226" t="s">
        <v>1560</v>
      </c>
    </row>
    <row r="2" customFormat="false" ht="15.75" hidden="false" customHeight="true" outlineLevel="0" collapsed="false">
      <c r="A2" s="337" t="n">
        <v>43203</v>
      </c>
      <c r="B2" s="338" t="s">
        <v>1561</v>
      </c>
      <c r="C2" s="337" t="n">
        <v>2</v>
      </c>
      <c r="D2" s="337" t="n">
        <v>0</v>
      </c>
      <c r="E2" s="337" t="n">
        <f aca="false">SUM(C2:D2)</f>
        <v>2</v>
      </c>
      <c r="H2" s="339" t="s">
        <v>1562</v>
      </c>
    </row>
    <row r="3" customFormat="false" ht="15.75" hidden="false" customHeight="true" outlineLevel="0" collapsed="false">
      <c r="A3" s="339" t="n">
        <v>43211</v>
      </c>
      <c r="B3" s="340" t="s">
        <v>1563</v>
      </c>
      <c r="C3" s="339" t="n">
        <v>2</v>
      </c>
      <c r="D3" s="339" t="n">
        <v>0</v>
      </c>
      <c r="E3" s="339" t="n">
        <f aca="false">SUM(C3:D3)</f>
        <v>2</v>
      </c>
      <c r="H3" s="337" t="s">
        <v>1564</v>
      </c>
    </row>
    <row r="4" customFormat="false" ht="15.75" hidden="false" customHeight="true" outlineLevel="0" collapsed="false">
      <c r="A4" s="337" t="n">
        <v>43222</v>
      </c>
      <c r="B4" s="338" t="s">
        <v>1565</v>
      </c>
      <c r="C4" s="337" t="n">
        <v>2</v>
      </c>
      <c r="D4" s="337" t="n">
        <v>0</v>
      </c>
      <c r="E4" s="337" t="n">
        <f aca="false">SUM(C4:D4)</f>
        <v>2</v>
      </c>
    </row>
    <row r="5" customFormat="false" ht="15.75" hidden="false" customHeight="true" outlineLevel="0" collapsed="false">
      <c r="A5" s="339" t="n">
        <v>43227</v>
      </c>
      <c r="B5" s="340" t="s">
        <v>1566</v>
      </c>
      <c r="C5" s="339" t="n">
        <v>2</v>
      </c>
      <c r="D5" s="339" t="n">
        <v>0</v>
      </c>
      <c r="E5" s="339" t="n">
        <f aca="false">SUM(C5:D5)</f>
        <v>2</v>
      </c>
      <c r="F5" s="2" t="s">
        <v>1567</v>
      </c>
    </row>
    <row r="6" customFormat="false" ht="15.75" hidden="false" customHeight="true" outlineLevel="0" collapsed="false">
      <c r="A6" s="2" t="n">
        <v>43232</v>
      </c>
      <c r="B6" s="341" t="s">
        <v>1568</v>
      </c>
      <c r="C6" s="2" t="n">
        <v>0</v>
      </c>
      <c r="D6" s="2" t="n">
        <v>1</v>
      </c>
      <c r="E6" s="2" t="n">
        <f aca="false">SUM(C6:D6)</f>
        <v>1</v>
      </c>
      <c r="F6" s="2" t="s">
        <v>1569</v>
      </c>
    </row>
    <row r="7" customFormat="false" ht="15.75" hidden="false" customHeight="true" outlineLevel="0" collapsed="false">
      <c r="A7" s="2" t="n">
        <v>43204</v>
      </c>
      <c r="B7" s="342" t="s">
        <v>1570</v>
      </c>
      <c r="C7" s="2" t="n">
        <v>1</v>
      </c>
      <c r="D7" s="2" t="n">
        <v>1</v>
      </c>
      <c r="E7" s="2" t="n">
        <f aca="false">SUM(C7:D7)</f>
        <v>2</v>
      </c>
      <c r="F7" s="2" t="s">
        <v>1571</v>
      </c>
    </row>
    <row r="8" customFormat="false" ht="15.75" hidden="false" customHeight="true" outlineLevel="0" collapsed="false">
      <c r="A8" s="2" t="n">
        <v>43123</v>
      </c>
      <c r="B8" s="342" t="s">
        <v>1572</v>
      </c>
      <c r="C8" s="2" t="n">
        <v>0</v>
      </c>
      <c r="D8" s="2" t="n">
        <v>1</v>
      </c>
      <c r="E8" s="2" t="n">
        <f aca="false">SUM(C8:D8)</f>
        <v>1</v>
      </c>
      <c r="F8" s="2" t="s">
        <v>1573</v>
      </c>
    </row>
    <row r="9" customFormat="false" ht="15.75" hidden="false" customHeight="true" outlineLevel="0" collapsed="false">
      <c r="A9" s="339" t="n">
        <v>43214</v>
      </c>
      <c r="B9" s="340" t="s">
        <v>1574</v>
      </c>
      <c r="C9" s="339" t="n">
        <v>2</v>
      </c>
      <c r="D9" s="339" t="n">
        <v>0</v>
      </c>
      <c r="E9" s="339" t="n">
        <f aca="false">SUM(C9:D9)</f>
        <v>2</v>
      </c>
    </row>
    <row r="10" customFormat="false" ht="15.75" hidden="false" customHeight="true" outlineLevel="0" collapsed="false">
      <c r="A10" s="337" t="n">
        <v>43212</v>
      </c>
      <c r="B10" s="338" t="s">
        <v>1575</v>
      </c>
      <c r="C10" s="337" t="n">
        <v>1</v>
      </c>
      <c r="D10" s="337" t="n">
        <v>1</v>
      </c>
      <c r="E10" s="337" t="n">
        <f aca="false">SUM(C10:D10)</f>
        <v>2</v>
      </c>
      <c r="F10" s="2" t="s">
        <v>1576</v>
      </c>
    </row>
    <row r="11" customFormat="false" ht="15.75" hidden="false" customHeight="true" outlineLevel="0" collapsed="false">
      <c r="A11" s="2" t="n">
        <v>43207</v>
      </c>
      <c r="B11" s="342" t="s">
        <v>1577</v>
      </c>
      <c r="C11" s="2" t="n">
        <v>0</v>
      </c>
      <c r="D11" s="2" t="n">
        <v>1</v>
      </c>
      <c r="E11" s="2" t="n">
        <f aca="false">SUM(C11:D11)</f>
        <v>1</v>
      </c>
      <c r="F11" s="2" t="s">
        <v>1578</v>
      </c>
    </row>
    <row r="12" customFormat="false" ht="15.75" hidden="false" customHeight="true" outlineLevel="0" collapsed="false">
      <c r="A12" s="2" t="s">
        <v>1579</v>
      </c>
      <c r="C12" s="2" t="n">
        <f aca="false">SUM(C2:C11)</f>
        <v>12</v>
      </c>
      <c r="D12" s="2" t="n">
        <f aca="false">SUM(D2:D11)</f>
        <v>5</v>
      </c>
      <c r="E12" s="2" t="n">
        <f aca="false">SUM(E2:E11)</f>
        <v>17</v>
      </c>
    </row>
    <row r="14" customFormat="false" ht="15.75" hidden="false" customHeight="true" outlineLevel="0" collapsed="false">
      <c r="B14" s="2" t="s">
        <v>1580</v>
      </c>
    </row>
    <row r="16" customFormat="false" ht="15.75" hidden="false" customHeight="true" outlineLevel="0" collapsed="false">
      <c r="A16" s="343" t="n">
        <v>2022</v>
      </c>
    </row>
    <row r="17" customFormat="false" ht="15.75" hidden="false" customHeight="true" outlineLevel="0" collapsed="false">
      <c r="A17" s="2" t="n">
        <v>43219</v>
      </c>
      <c r="B17" s="2" t="s">
        <v>1581</v>
      </c>
      <c r="C17" s="2" t="n">
        <v>1</v>
      </c>
      <c r="F17" s="2" t="s">
        <v>1582</v>
      </c>
    </row>
  </sheetData>
  <printOptions headings="false" gridLines="false" gridLinesSet="true" horizontalCentered="false" verticalCentered="false"/>
  <pageMargins left="0" right="0" top="0" bottom="0"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E34" activePane="bottomLeft" state="frozen"/>
      <selection pane="topLeft" activeCell="A1" activeCellId="0" sqref="A1"/>
      <selection pane="bottomLeft" activeCell="E34" activeCellId="0" sqref="E34"/>
    </sheetView>
  </sheetViews>
  <sheetFormatPr defaultColWidth="12.42578125" defaultRowHeight="15.75" zeroHeight="false" outlineLevelRow="0" outlineLevelCol="0"/>
  <cols>
    <col collapsed="false" customWidth="true" hidden="false" outlineLevel="0" max="1" min="1" style="0" width="10.71"/>
    <col collapsed="false" customWidth="true" hidden="false" outlineLevel="0" max="2" min="2" style="0" width="7.86"/>
    <col collapsed="false" customWidth="true" hidden="false" outlineLevel="0" max="3" min="3" style="0" width="9.42"/>
    <col collapsed="false" customWidth="true" hidden="false" outlineLevel="0" max="4" min="4" style="0" width="10.42"/>
    <col collapsed="false" customWidth="true" hidden="false" outlineLevel="0" max="5" min="5" style="0" width="72.14"/>
    <col collapsed="false" customWidth="true" hidden="false" outlineLevel="0" max="6" min="6" style="0" width="8.42"/>
    <col collapsed="false" customWidth="true" hidden="false" outlineLevel="0" max="7" min="7" style="0" width="9"/>
    <col collapsed="false" customWidth="true" hidden="false" outlineLevel="0" max="11" min="8" style="0" width="8.42"/>
    <col collapsed="false" customWidth="true" hidden="false" outlineLevel="0" max="13" min="12" style="0" width="14.42"/>
    <col collapsed="false" customWidth="true" hidden="false" outlineLevel="0" max="14" min="14" style="0" width="11.43"/>
    <col collapsed="false" customWidth="true" hidden="false" outlineLevel="0" max="15" min="15" style="0" width="107.29"/>
  </cols>
  <sheetData>
    <row r="1" customFormat="false" ht="15.75" hidden="false" customHeight="true" outlineLevel="0" collapsed="false">
      <c r="A1" s="296" t="s">
        <v>1583</v>
      </c>
      <c r="B1" s="296" t="s">
        <v>1584</v>
      </c>
      <c r="C1" s="296" t="s">
        <v>1585</v>
      </c>
      <c r="D1" s="296" t="s">
        <v>1586</v>
      </c>
      <c r="E1" s="296" t="s">
        <v>1587</v>
      </c>
      <c r="F1" s="296"/>
      <c r="G1" s="296"/>
      <c r="H1" s="296"/>
      <c r="I1" s="296"/>
      <c r="J1" s="296"/>
      <c r="K1" s="296"/>
      <c r="L1" s="296"/>
      <c r="M1" s="296"/>
      <c r="N1" s="296" t="s">
        <v>1588</v>
      </c>
      <c r="O1" s="296" t="s">
        <v>55</v>
      </c>
      <c r="P1" s="296"/>
      <c r="Q1" s="229"/>
      <c r="R1" s="229"/>
      <c r="S1" s="229"/>
      <c r="T1" s="229"/>
      <c r="U1" s="229"/>
      <c r="V1" s="229"/>
      <c r="W1" s="229"/>
      <c r="X1" s="229"/>
      <c r="Y1" s="229"/>
      <c r="Z1" s="229"/>
      <c r="AA1" s="229"/>
      <c r="AB1" s="229"/>
      <c r="AC1" s="229"/>
      <c r="AD1" s="229"/>
      <c r="AE1" s="229"/>
    </row>
    <row r="2" customFormat="false" ht="15.75" hidden="false" customHeight="true" outlineLevel="0" collapsed="false">
      <c r="A2" s="344"/>
      <c r="B2" s="344"/>
      <c r="C2" s="344"/>
      <c r="D2" s="344"/>
      <c r="E2" s="344" t="s">
        <v>1589</v>
      </c>
      <c r="F2" s="344" t="s">
        <v>1590</v>
      </c>
      <c r="G2" s="344" t="s">
        <v>1591</v>
      </c>
      <c r="H2" s="344" t="s">
        <v>1592</v>
      </c>
      <c r="I2" s="344" t="s">
        <v>1593</v>
      </c>
      <c r="J2" s="344" t="s">
        <v>1594</v>
      </c>
      <c r="K2" s="344" t="s">
        <v>1595</v>
      </c>
      <c r="L2" s="344" t="s">
        <v>1596</v>
      </c>
      <c r="M2" s="344" t="s">
        <v>1597</v>
      </c>
      <c r="N2" s="344"/>
      <c r="O2" s="344"/>
      <c r="P2" s="344"/>
      <c r="Q2" s="344"/>
      <c r="R2" s="344"/>
      <c r="S2" s="344"/>
      <c r="T2" s="344"/>
      <c r="U2" s="344"/>
      <c r="V2" s="344"/>
      <c r="W2" s="344"/>
      <c r="X2" s="344"/>
      <c r="Y2" s="344"/>
      <c r="Z2" s="344"/>
      <c r="AA2" s="344"/>
      <c r="AB2" s="344"/>
      <c r="AC2" s="344"/>
      <c r="AD2" s="344"/>
      <c r="AE2" s="344"/>
    </row>
    <row r="3" customFormat="false" ht="15.75" hidden="false" customHeight="true" outlineLevel="0" collapsed="false">
      <c r="A3" s="2" t="n">
        <v>6</v>
      </c>
      <c r="B3" s="345" t="n">
        <v>1</v>
      </c>
      <c r="C3" s="231" t="n">
        <v>44400</v>
      </c>
      <c r="D3" s="231" t="n">
        <v>44414</v>
      </c>
      <c r="E3" s="2" t="n">
        <v>0.88</v>
      </c>
      <c r="F3" s="2" t="n">
        <v>1.13</v>
      </c>
      <c r="G3" s="2" t="n">
        <v>-2.15</v>
      </c>
      <c r="J3" s="346"/>
      <c r="N3" s="347" t="str">
        <f aca="false">IF(AND(E3&gt;=0.7,F3&lt;=1.35,F3&gt;=0.65,G3&gt;=-5,G3&lt;=5,H3&lt;=7,I3&lt;=0.3,L3&lt;=0.3,M3&lt;=5),"PASS","FAIL")</f>
        <v>PASS</v>
      </c>
    </row>
    <row r="4" customFormat="false" ht="15.75" hidden="false" customHeight="true" outlineLevel="0" collapsed="false">
      <c r="A4" s="2" t="n">
        <v>10</v>
      </c>
      <c r="B4" s="345" t="n">
        <v>1</v>
      </c>
      <c r="C4" s="231" t="n">
        <v>44400</v>
      </c>
      <c r="D4" s="231" t="n">
        <v>44414</v>
      </c>
      <c r="E4" s="2" t="n">
        <v>0.86</v>
      </c>
      <c r="F4" s="2" t="n">
        <v>1.07</v>
      </c>
      <c r="G4" s="2" t="n">
        <v>-0.54</v>
      </c>
      <c r="J4" s="346"/>
      <c r="N4" s="347" t="str">
        <f aca="false">IF(AND(E4&gt;=0.7,F4&lt;=1.35,F4&gt;=0.65,G4&gt;=-5,G4&lt;=5,H4&lt;=7,I4&lt;=0.3,L4&lt;=0.3,M4&lt;=5),"PASS","FAIL")</f>
        <v>PASS</v>
      </c>
    </row>
    <row r="5" customFormat="false" ht="15.75" hidden="false" customHeight="true" outlineLevel="0" collapsed="false">
      <c r="A5" s="2" t="n">
        <v>12</v>
      </c>
      <c r="B5" s="345" t="n">
        <v>1</v>
      </c>
      <c r="C5" s="231" t="n">
        <v>44400</v>
      </c>
      <c r="D5" s="231" t="n">
        <v>44414</v>
      </c>
      <c r="E5" s="2" t="n">
        <v>0.86</v>
      </c>
      <c r="F5" s="2" t="n">
        <v>1.18</v>
      </c>
      <c r="G5" s="2" t="n">
        <v>-1.72</v>
      </c>
      <c r="J5" s="346"/>
      <c r="N5" s="347" t="str">
        <f aca="false">IF(AND(E5&gt;=0.7,F5&lt;=1.35,F5&gt;=0.65,G5&gt;=-5,G5&lt;=5,H5&lt;=7,I5&lt;=0.3,L5&lt;=0.3,M5&lt;=5),"PASS","FAIL")</f>
        <v>PASS</v>
      </c>
    </row>
    <row r="6" customFormat="false" ht="15.75" hidden="false" customHeight="true" outlineLevel="0" collapsed="false">
      <c r="A6" s="2" t="n">
        <v>14</v>
      </c>
      <c r="B6" s="345" t="n">
        <v>1</v>
      </c>
      <c r="C6" s="231" t="n">
        <v>44400</v>
      </c>
      <c r="D6" s="231" t="n">
        <v>44414</v>
      </c>
      <c r="E6" s="2" t="n">
        <v>0.87</v>
      </c>
      <c r="F6" s="2" t="n">
        <v>1.14</v>
      </c>
      <c r="G6" s="2" t="n">
        <v>-0.99</v>
      </c>
      <c r="H6" s="2" t="n">
        <v>2.36</v>
      </c>
      <c r="I6" s="348" t="n">
        <v>0.16</v>
      </c>
      <c r="J6" s="346" t="n">
        <v>-0.92</v>
      </c>
      <c r="K6" s="348" t="n">
        <v>-0.06</v>
      </c>
      <c r="N6" s="347" t="str">
        <f aca="false">IF(AND(E6&gt;=0.7,F6&lt;=1.35,F6&gt;=0.65,G6&gt;=-5,G6&lt;=5,H6&lt;=7,I6&lt;=0.3,L6&lt;=0.3,M6&lt;=5),"PASS","FAIL")</f>
        <v>PASS</v>
      </c>
    </row>
    <row r="7" customFormat="false" ht="15.75" hidden="false" customHeight="true" outlineLevel="0" collapsed="false">
      <c r="A7" s="2" t="n">
        <v>18</v>
      </c>
      <c r="B7" s="345" t="n">
        <v>1</v>
      </c>
      <c r="C7" s="231" t="n">
        <v>44400</v>
      </c>
      <c r="D7" s="231" t="n">
        <v>44414</v>
      </c>
      <c r="E7" s="2" t="n">
        <v>0.89</v>
      </c>
      <c r="F7" s="2" t="n">
        <v>1.11</v>
      </c>
      <c r="G7" s="2" t="n">
        <v>-1.83</v>
      </c>
      <c r="J7" s="346"/>
      <c r="N7" s="347" t="str">
        <f aca="false">IF(AND(E7&gt;=0.7,F7&lt;=1.35,F7&gt;=0.65,G7&gt;=-5,G7&lt;=5,H7&lt;=7,I7&lt;=0.3,L7&lt;=0.3,M7&lt;=5),"PASS","FAIL")</f>
        <v>PASS</v>
      </c>
    </row>
    <row r="8" customFormat="false" ht="15.75" hidden="false" customHeight="true" outlineLevel="0" collapsed="false">
      <c r="A8" s="2" t="n">
        <v>7</v>
      </c>
      <c r="B8" s="349" t="n">
        <v>2</v>
      </c>
      <c r="C8" s="231" t="n">
        <v>44414</v>
      </c>
      <c r="D8" s="231" t="n">
        <v>44428</v>
      </c>
      <c r="E8" s="2" t="n">
        <v>0.82</v>
      </c>
      <c r="F8" s="2" t="n">
        <v>0.75</v>
      </c>
      <c r="G8" s="2" t="n">
        <v>2.78</v>
      </c>
      <c r="H8" s="2" t="n">
        <v>1.6</v>
      </c>
      <c r="I8" s="348" t="n">
        <v>0.17</v>
      </c>
      <c r="J8" s="346" t="n">
        <v>-0.34</v>
      </c>
      <c r="K8" s="348" t="n">
        <v>-0.03</v>
      </c>
      <c r="L8" s="348" t="n">
        <v>0.02</v>
      </c>
      <c r="M8" s="2" t="n">
        <v>0.22</v>
      </c>
      <c r="N8" s="347" t="str">
        <f aca="false">IF(AND(E8&gt;=0.7,F8&lt;=1.35,F8&gt;=0.65,G8&gt;=-5,G8&lt;=5,H8&lt;=7,I8&lt;=0.3,L8&lt;=0.3,M8&lt;=5),"PASS","FAIL")</f>
        <v>PASS</v>
      </c>
    </row>
    <row r="9" customFormat="false" ht="15.75" hidden="false" customHeight="true" outlineLevel="0" collapsed="false">
      <c r="A9" s="2" t="n">
        <v>9</v>
      </c>
      <c r="B9" s="349" t="n">
        <v>2</v>
      </c>
      <c r="C9" s="231" t="n">
        <v>44414</v>
      </c>
      <c r="D9" s="231" t="n">
        <v>44428</v>
      </c>
      <c r="E9" s="2" t="n">
        <v>0.8</v>
      </c>
      <c r="F9" s="2" t="n">
        <v>0.72</v>
      </c>
      <c r="G9" s="2" t="n">
        <v>2.48</v>
      </c>
      <c r="H9" s="2" t="n">
        <v>1.62</v>
      </c>
      <c r="I9" s="348" t="n">
        <v>0.17</v>
      </c>
      <c r="J9" s="346" t="n">
        <v>0.38</v>
      </c>
      <c r="K9" s="348" t="n">
        <v>0.04</v>
      </c>
      <c r="L9" s="348" t="n">
        <v>0.02</v>
      </c>
      <c r="M9" s="2" t="n">
        <v>0.16</v>
      </c>
      <c r="N9" s="347" t="str">
        <f aca="false">IF(AND(E9&gt;=0.7,F9&lt;=1.35,F9&gt;=0.65,G9&gt;=-5,G9&lt;=5,H9&lt;=7,I9&lt;=0.3,L9&lt;=0.3,M9&lt;=5),"PASS","FAIL")</f>
        <v>PASS</v>
      </c>
    </row>
    <row r="10" customFormat="false" ht="15.75" hidden="false" customHeight="true" outlineLevel="0" collapsed="false">
      <c r="A10" s="2" t="n">
        <v>15</v>
      </c>
      <c r="B10" s="349" t="n">
        <v>2</v>
      </c>
      <c r="C10" s="231" t="n">
        <v>44414</v>
      </c>
      <c r="D10" s="231" t="n">
        <v>44428</v>
      </c>
      <c r="E10" s="2" t="n">
        <v>0.62</v>
      </c>
      <c r="F10" s="2" t="n">
        <v>0.88</v>
      </c>
      <c r="G10" s="2" t="n">
        <v>1.27</v>
      </c>
      <c r="H10" s="2" t="n">
        <v>0.91</v>
      </c>
      <c r="I10" s="348" t="n">
        <v>0.06</v>
      </c>
      <c r="J10" s="346" t="n">
        <v>0.69</v>
      </c>
      <c r="K10" s="348" t="n">
        <v>0.05</v>
      </c>
      <c r="L10" s="348" t="n">
        <v>0.03</v>
      </c>
      <c r="M10" s="2" t="n">
        <v>0.45</v>
      </c>
      <c r="N10" s="347" t="str">
        <f aca="false">IF(AND(E10&gt;=0.7,F10&lt;=1.35,F10&gt;=0.65,G10&gt;=-5,G10&lt;=5,H10&lt;=7,I10&lt;=0.3,L10&lt;=0.3,M10&lt;=5),"PASS","FAIL")</f>
        <v>FAIL</v>
      </c>
    </row>
    <row r="11" customFormat="false" ht="15.75" hidden="false" customHeight="true" outlineLevel="0" collapsed="false">
      <c r="A11" s="2" t="n">
        <v>16</v>
      </c>
      <c r="B11" s="349" t="n">
        <v>2</v>
      </c>
      <c r="C11" s="231" t="n">
        <v>44414</v>
      </c>
      <c r="D11" s="231" t="n">
        <v>44428</v>
      </c>
      <c r="E11" s="2" t="n">
        <v>0.71</v>
      </c>
      <c r="F11" s="2" t="n">
        <v>0.7</v>
      </c>
      <c r="G11" s="2" t="n">
        <v>2.22</v>
      </c>
      <c r="H11" s="2" t="n">
        <v>2.01</v>
      </c>
      <c r="I11" s="348" t="n">
        <v>0.22</v>
      </c>
      <c r="J11" s="346" t="n">
        <v>0.88</v>
      </c>
      <c r="K11" s="348" t="n">
        <v>0.09</v>
      </c>
      <c r="L11" s="348" t="n">
        <v>0.03</v>
      </c>
      <c r="M11" s="2" t="n">
        <v>0.27</v>
      </c>
      <c r="N11" s="347" t="str">
        <f aca="false">IF(AND(E11&gt;=0.7,F11&lt;=1.35,F11&gt;=0.65,G11&gt;=-5,G11&lt;=5,H11&lt;=7,I11&lt;=0.3,L11&lt;=0.3,M11&lt;=5),"PASS","FAIL")</f>
        <v>PASS</v>
      </c>
    </row>
    <row r="12" customFormat="false" ht="15.75" hidden="false" customHeight="true" outlineLevel="0" collapsed="false">
      <c r="A12" s="2" t="n">
        <v>17</v>
      </c>
      <c r="B12" s="349" t="n">
        <v>2</v>
      </c>
      <c r="C12" s="231" t="n">
        <v>44414</v>
      </c>
      <c r="D12" s="231" t="n">
        <v>44428</v>
      </c>
      <c r="E12" s="2" t="n">
        <v>0.81</v>
      </c>
      <c r="F12" s="2" t="n">
        <v>0.73</v>
      </c>
      <c r="G12" s="2" t="n">
        <v>2.5</v>
      </c>
      <c r="H12" s="2" t="n">
        <v>1.63</v>
      </c>
      <c r="I12" s="348" t="n">
        <v>0.17</v>
      </c>
      <c r="J12" s="346" t="n">
        <v>0.21</v>
      </c>
      <c r="K12" s="348" t="n">
        <v>0.02</v>
      </c>
      <c r="L12" s="348" t="n">
        <v>0.02</v>
      </c>
      <c r="M12" s="2" t="n">
        <v>0.2</v>
      </c>
      <c r="N12" s="347" t="str">
        <f aca="false">IF(AND(E12&gt;=0.7,F12&lt;=1.35,F12&gt;=0.65,G12&gt;=-5,G12&lt;=5,H12&lt;=7,I12&lt;=0.3,L12&lt;=0.3,M12&lt;=5),"PASS","FAIL")</f>
        <v>PASS</v>
      </c>
    </row>
    <row r="13" customFormat="false" ht="15.75" hidden="false" customHeight="true" outlineLevel="0" collapsed="false">
      <c r="A13" s="2" t="n">
        <v>20</v>
      </c>
      <c r="B13" s="349" t="n">
        <v>2</v>
      </c>
      <c r="C13" s="231" t="n">
        <v>44414</v>
      </c>
      <c r="D13" s="231" t="n">
        <v>44428</v>
      </c>
      <c r="E13" s="2" t="n">
        <v>-4.6</v>
      </c>
      <c r="F13" s="2" t="n">
        <v>0.5</v>
      </c>
      <c r="G13" s="2" t="n">
        <v>3.61</v>
      </c>
      <c r="J13" s="346"/>
      <c r="N13" s="347" t="str">
        <f aca="false">IF(AND(E13&gt;=0.7,F13&lt;=1.35,F13&gt;=0.65,G13&gt;=-5,G13&lt;=5,H13&lt;=7,I13&lt;=0.3,L13&lt;=0.3,M13&lt;=5),"PASS","FAIL")</f>
        <v>FAIL</v>
      </c>
    </row>
    <row r="14" customFormat="false" ht="15.75" hidden="false" customHeight="true" outlineLevel="0" collapsed="false">
      <c r="A14" s="2" t="n">
        <v>21</v>
      </c>
      <c r="B14" s="350" t="n">
        <v>3</v>
      </c>
      <c r="C14" s="231" t="n">
        <v>44428</v>
      </c>
      <c r="D14" s="231" t="n">
        <v>44442</v>
      </c>
      <c r="E14" s="2" t="n">
        <v>0.77</v>
      </c>
      <c r="F14" s="2" t="n">
        <v>0.78</v>
      </c>
      <c r="G14" s="2" t="n">
        <v>1.92</v>
      </c>
      <c r="H14" s="2" t="n">
        <v>3.55</v>
      </c>
      <c r="I14" s="348" t="n">
        <v>0.17</v>
      </c>
      <c r="J14" s="346" t="n">
        <v>0.62</v>
      </c>
      <c r="K14" s="348" t="n">
        <v>0.06</v>
      </c>
      <c r="L14" s="348" t="n">
        <v>0.02</v>
      </c>
      <c r="M14" s="2" t="n">
        <v>0.21</v>
      </c>
      <c r="N14" s="347" t="str">
        <f aca="false">IF(AND(E14&gt;=0.7,F14&lt;=1.35,F14&gt;=0.65,G14&gt;=-5,G14&lt;=5,H14&lt;=7,I14&lt;=0.3,L14&lt;=0.3,M14&lt;=5),"PASS","FAIL")</f>
        <v>PASS</v>
      </c>
      <c r="O14" s="2" t="s">
        <v>1598</v>
      </c>
    </row>
    <row r="15" customFormat="false" ht="15.75" hidden="false" customHeight="true" outlineLevel="0" collapsed="false">
      <c r="A15" s="2" t="n">
        <v>22</v>
      </c>
      <c r="B15" s="350" t="n">
        <v>3</v>
      </c>
      <c r="C15" s="231" t="n">
        <v>44428</v>
      </c>
      <c r="D15" s="231" t="n">
        <v>44442</v>
      </c>
      <c r="E15" s="2" t="n">
        <v>0.79</v>
      </c>
      <c r="F15" s="2" t="n">
        <v>0.83</v>
      </c>
      <c r="G15" s="2" t="n">
        <v>2.19</v>
      </c>
      <c r="H15" s="2" t="n">
        <v>3.43</v>
      </c>
      <c r="I15" s="348" t="n">
        <v>0.17</v>
      </c>
      <c r="J15" s="346" t="n">
        <v>-0.4</v>
      </c>
      <c r="K15" s="348" t="n">
        <v>-0.04</v>
      </c>
      <c r="L15" s="348" t="n">
        <v>0.02</v>
      </c>
      <c r="M15" s="2" t="n">
        <v>0.26</v>
      </c>
      <c r="N15" s="347" t="str">
        <f aca="false">IF(AND(E15&gt;=0.7,F15&lt;=1.35,F15&gt;=0.65,G15&gt;=-5,G15&lt;=5,H15&lt;=7,I15&lt;=0.3,L15&lt;=0.3,M15&lt;=5),"PASS","FAIL")</f>
        <v>PASS</v>
      </c>
      <c r="O15" s="2" t="s">
        <v>1598</v>
      </c>
    </row>
    <row r="16" customFormat="false" ht="15.75" hidden="false" customHeight="true" outlineLevel="0" collapsed="false">
      <c r="A16" s="2" t="n">
        <v>23</v>
      </c>
      <c r="B16" s="350" t="n">
        <v>3</v>
      </c>
      <c r="C16" s="231" t="n">
        <v>44428</v>
      </c>
      <c r="D16" s="231" t="n">
        <v>44442</v>
      </c>
      <c r="E16" s="2" t="n">
        <v>0.81</v>
      </c>
      <c r="F16" s="2" t="n">
        <v>0.82</v>
      </c>
      <c r="G16" s="2" t="n">
        <v>1.79</v>
      </c>
      <c r="H16" s="2" t="n">
        <v>3.46</v>
      </c>
      <c r="I16" s="348" t="n">
        <v>0.17</v>
      </c>
      <c r="J16" s="346" t="n">
        <v>0.28</v>
      </c>
      <c r="K16" s="348" t="n">
        <v>0.03</v>
      </c>
      <c r="L16" s="348" t="n">
        <v>0.02</v>
      </c>
      <c r="M16" s="2" t="n">
        <v>0.22</v>
      </c>
      <c r="N16" s="347" t="str">
        <f aca="false">IF(AND(E16&gt;=0.7,F16&lt;=1.35,F16&gt;=0.65,G16&gt;=-5,G16&lt;=5,H16&lt;=7,I16&lt;=0.3,L16&lt;=0.3,M16&lt;=5),"PASS","FAIL")</f>
        <v>PASS</v>
      </c>
      <c r="O16" s="2" t="s">
        <v>1598</v>
      </c>
    </row>
    <row r="17" customFormat="false" ht="15.75" hidden="false" customHeight="true" outlineLevel="0" collapsed="false">
      <c r="A17" s="2" t="n">
        <v>24</v>
      </c>
      <c r="B17" s="350" t="n">
        <v>3</v>
      </c>
      <c r="C17" s="231" t="n">
        <v>44428</v>
      </c>
      <c r="D17" s="231" t="n">
        <v>44442</v>
      </c>
      <c r="E17" s="2" t="n">
        <v>0.77</v>
      </c>
      <c r="F17" s="2" t="n">
        <v>0.78</v>
      </c>
      <c r="G17" s="2" t="n">
        <v>1.74</v>
      </c>
      <c r="H17" s="2" t="n">
        <v>3.6</v>
      </c>
      <c r="I17" s="348" t="n">
        <v>0.19</v>
      </c>
      <c r="J17" s="346" t="n">
        <v>0.74</v>
      </c>
      <c r="K17" s="348" t="n">
        <v>0.07</v>
      </c>
      <c r="L17" s="348" t="n">
        <v>0.02</v>
      </c>
      <c r="M17" s="2" t="n">
        <v>0.23</v>
      </c>
      <c r="N17" s="347" t="str">
        <f aca="false">IF(AND(E17&gt;=0.7,F17&lt;=1.35,F17&gt;=0.65,G17&gt;=-5,G17&lt;=5,H17&lt;=7,I17&lt;=0.3,L17&lt;=0.3,M17&lt;=5),"PASS","FAIL")</f>
        <v>PASS</v>
      </c>
      <c r="O17" s="2" t="s">
        <v>1598</v>
      </c>
    </row>
    <row r="18" customFormat="false" ht="15.75" hidden="false" customHeight="true" outlineLevel="0" collapsed="false">
      <c r="A18" s="2" t="n">
        <v>25</v>
      </c>
      <c r="B18" s="350" t="n">
        <v>3</v>
      </c>
      <c r="C18" s="231" t="n">
        <v>44428</v>
      </c>
      <c r="D18" s="231" t="n">
        <v>44442</v>
      </c>
      <c r="E18" s="2" t="n">
        <v>0.79</v>
      </c>
      <c r="F18" s="2" t="n">
        <v>0.82</v>
      </c>
      <c r="G18" s="2" t="n">
        <v>1.64</v>
      </c>
      <c r="H18" s="2" t="n">
        <v>3.43</v>
      </c>
      <c r="I18" s="348" t="n">
        <v>0.16</v>
      </c>
      <c r="J18" s="346" t="n">
        <v>0.68</v>
      </c>
      <c r="K18" s="348" t="n">
        <v>0.06</v>
      </c>
      <c r="L18" s="348" t="n">
        <v>0.02</v>
      </c>
      <c r="M18" s="2" t="n">
        <v>0.18</v>
      </c>
      <c r="N18" s="347" t="str">
        <f aca="false">IF(AND(E18&gt;=0.7,F18&lt;=1.35,F18&gt;=0.65,G18&gt;=-5,G18&lt;=5,H18&lt;=7,I18&lt;=0.3,L18&lt;=0.3,M18&lt;=5),"PASS","FAIL")</f>
        <v>PASS</v>
      </c>
      <c r="O18" s="2" t="s">
        <v>1598</v>
      </c>
    </row>
    <row r="19" customFormat="false" ht="15.75" hidden="false" customHeight="true" outlineLevel="0" collapsed="false">
      <c r="A19" s="2" t="n">
        <v>26</v>
      </c>
      <c r="B19" s="350" t="n">
        <v>3</v>
      </c>
      <c r="C19" s="231" t="n">
        <v>44428</v>
      </c>
      <c r="D19" s="231" t="n">
        <v>44442</v>
      </c>
      <c r="E19" s="2" t="n">
        <v>0.8</v>
      </c>
      <c r="F19" s="2" t="n">
        <v>0.8</v>
      </c>
      <c r="G19" s="2" t="n">
        <v>2.16</v>
      </c>
      <c r="H19" s="2" t="n">
        <v>3.43</v>
      </c>
      <c r="I19" s="348" t="n">
        <v>0.16</v>
      </c>
      <c r="J19" s="346" t="n">
        <v>-0.05</v>
      </c>
      <c r="K19" s="348" t="n">
        <v>0</v>
      </c>
      <c r="L19" s="348" t="n">
        <v>0.02</v>
      </c>
      <c r="M19" s="2" t="n">
        <v>0.23</v>
      </c>
      <c r="N19" s="347" t="str">
        <f aca="false">IF(AND(E19&gt;=0.7,F19&lt;=1.35,F19&gt;=0.65,G19&gt;=-5,G19&lt;=5,H19&lt;=7,I19&lt;=0.3,L19&lt;=0.3,M19&lt;=5),"PASS","FAIL")</f>
        <v>PASS</v>
      </c>
      <c r="O19" s="2" t="s">
        <v>1598</v>
      </c>
    </row>
    <row r="20" customFormat="false" ht="15.75" hidden="false" customHeight="true" outlineLevel="0" collapsed="false">
      <c r="A20" s="2" t="n">
        <v>29</v>
      </c>
      <c r="B20" s="351" t="n">
        <v>4</v>
      </c>
      <c r="C20" s="231" t="n">
        <v>44449</v>
      </c>
      <c r="D20" s="231" t="n">
        <v>44470</v>
      </c>
      <c r="E20" s="2" t="n">
        <v>0.8</v>
      </c>
      <c r="F20" s="2" t="n">
        <v>0.85</v>
      </c>
      <c r="G20" s="2" t="n">
        <v>1.43</v>
      </c>
      <c r="H20" s="2" t="n">
        <v>1.94</v>
      </c>
      <c r="I20" s="348" t="n">
        <v>0.23</v>
      </c>
      <c r="J20" s="346" t="n">
        <v>-0.2</v>
      </c>
      <c r="K20" s="348" t="n">
        <v>-0.02</v>
      </c>
      <c r="L20" s="348" t="n">
        <v>0.04</v>
      </c>
      <c r="M20" s="2" t="n">
        <v>0.3</v>
      </c>
      <c r="N20" s="347" t="str">
        <f aca="false">IF(AND(E20&gt;=0.7,F20&lt;=1.35,F20&gt;=0.65,G20&gt;=-5,G20&lt;=5,H20&lt;=7,I20&lt;=0.3,L20&lt;=0.3,M20&lt;=5),"PASS","FAIL")</f>
        <v>PASS</v>
      </c>
    </row>
    <row r="21" customFormat="false" ht="15.75" hidden="false" customHeight="true" outlineLevel="0" collapsed="false">
      <c r="A21" s="2" t="n">
        <v>30</v>
      </c>
      <c r="B21" s="351" t="n">
        <v>4</v>
      </c>
      <c r="C21" s="231" t="n">
        <v>44449</v>
      </c>
      <c r="D21" s="231" t="n">
        <v>44470</v>
      </c>
      <c r="E21" s="2" t="n">
        <v>0.8</v>
      </c>
      <c r="F21" s="2" t="n">
        <v>0.82</v>
      </c>
      <c r="G21" s="2" t="n">
        <v>1.29</v>
      </c>
      <c r="H21" s="2" t="n">
        <v>2.04</v>
      </c>
      <c r="I21" s="348" t="n">
        <v>0.24</v>
      </c>
      <c r="J21" s="346" t="n">
        <v>0.29</v>
      </c>
      <c r="K21" s="348" t="n">
        <v>0.03</v>
      </c>
      <c r="L21" s="348" t="n">
        <v>0.03</v>
      </c>
      <c r="M21" s="2" t="n">
        <v>0.25</v>
      </c>
      <c r="N21" s="347" t="str">
        <f aca="false">IF(AND(E21&gt;=0.7,F21&lt;=1.35,F21&gt;=0.65,G21&gt;=-5,G21&lt;=5,H21&lt;=7,I21&lt;=0.3,L21&lt;=0.3,M21&lt;=5),"PASS","FAIL")</f>
        <v>PASS</v>
      </c>
    </row>
    <row r="22" customFormat="false" ht="15.75" hidden="false" customHeight="true" outlineLevel="0" collapsed="false">
      <c r="A22" s="2" t="n">
        <v>31</v>
      </c>
      <c r="B22" s="351" t="n">
        <v>4</v>
      </c>
      <c r="C22" s="231" t="n">
        <v>44449</v>
      </c>
      <c r="D22" s="231" t="n">
        <v>44470</v>
      </c>
      <c r="E22" s="2" t="n">
        <v>0.77</v>
      </c>
      <c r="F22" s="2" t="n">
        <v>0.8</v>
      </c>
      <c r="G22" s="2" t="n">
        <v>1.34</v>
      </c>
      <c r="H22" s="2" t="n">
        <v>2.06</v>
      </c>
      <c r="I22" s="348" t="n">
        <v>0.25</v>
      </c>
      <c r="J22" s="346" t="n">
        <v>0.54</v>
      </c>
      <c r="K22" s="348" t="n">
        <v>0.06</v>
      </c>
      <c r="L22" s="348" t="n">
        <v>0.03</v>
      </c>
      <c r="M22" s="2" t="n">
        <v>0.28</v>
      </c>
      <c r="N22" s="347" t="str">
        <f aca="false">IF(AND(E22&gt;=0.7,F22&lt;=1.35,F22&gt;=0.65,G22&gt;=-5,G22&lt;=5,H22&lt;=7,I22&lt;=0.3,L22&lt;=0.3,M22&lt;=5),"PASS","FAIL")</f>
        <v>PASS</v>
      </c>
    </row>
    <row r="23" customFormat="false" ht="15.75" hidden="false" customHeight="true" outlineLevel="0" collapsed="false">
      <c r="A23" s="2" t="n">
        <v>32</v>
      </c>
      <c r="B23" s="351" t="n">
        <v>4</v>
      </c>
      <c r="C23" s="231" t="n">
        <v>44449</v>
      </c>
      <c r="D23" s="231" t="n">
        <v>44470</v>
      </c>
      <c r="E23" s="2" t="n">
        <v>0.8</v>
      </c>
      <c r="F23" s="2" t="n">
        <v>0.82</v>
      </c>
      <c r="G23" s="2" t="n">
        <v>1.27</v>
      </c>
      <c r="H23" s="2" t="n">
        <v>1.98</v>
      </c>
      <c r="I23" s="348" t="n">
        <v>0.24</v>
      </c>
      <c r="J23" s="346" t="n">
        <v>0.38</v>
      </c>
      <c r="K23" s="348" t="n">
        <v>0.04</v>
      </c>
      <c r="L23" s="348" t="n">
        <v>0.02</v>
      </c>
      <c r="M23" s="2" t="n">
        <v>0.21</v>
      </c>
      <c r="N23" s="347" t="str">
        <f aca="false">IF(AND(E23&gt;=0.7,F23&lt;=1.35,F23&gt;=0.65,G23&gt;=-5,G23&lt;=5,H23&lt;=7,I23&lt;=0.3,L23&lt;=0.3,M23&lt;=5),"PASS","FAIL")</f>
        <v>PASS</v>
      </c>
    </row>
    <row r="24" customFormat="false" ht="15.75" hidden="false" customHeight="true" outlineLevel="0" collapsed="false">
      <c r="A24" s="2" t="n">
        <v>35</v>
      </c>
      <c r="B24" s="351" t="n">
        <v>4</v>
      </c>
      <c r="C24" s="231" t="n">
        <v>44449</v>
      </c>
      <c r="D24" s="231" t="n">
        <v>44470</v>
      </c>
      <c r="E24" s="2" t="n">
        <v>0.78</v>
      </c>
      <c r="F24" s="2" t="n">
        <v>0.8</v>
      </c>
      <c r="G24" s="2" t="n">
        <v>1.44</v>
      </c>
      <c r="H24" s="2" t="n">
        <v>2.06</v>
      </c>
      <c r="I24" s="348" t="n">
        <v>0.24</v>
      </c>
      <c r="J24" s="346" t="n">
        <v>0.34</v>
      </c>
      <c r="K24" s="348" t="n">
        <v>0.04</v>
      </c>
      <c r="L24" s="348" t="n">
        <v>0.03</v>
      </c>
      <c r="M24" s="2" t="n">
        <v>0.26</v>
      </c>
      <c r="N24" s="347" t="str">
        <f aca="false">IF(AND(E24&gt;=0.7,F24&lt;=1.35,F24&gt;=0.65,G24&gt;=-5,G24&lt;=5,H24&lt;=7,I24&lt;=0.3,L24&lt;=0.3,M24&lt;=5),"PASS","FAIL")</f>
        <v>PASS</v>
      </c>
    </row>
    <row r="25" customFormat="false" ht="15.75" hidden="false" customHeight="true" outlineLevel="0" collapsed="false">
      <c r="A25" s="2" t="n">
        <v>38</v>
      </c>
      <c r="B25" s="351" t="n">
        <v>4</v>
      </c>
      <c r="C25" s="231" t="n">
        <v>44449</v>
      </c>
      <c r="D25" s="231" t="n">
        <v>44470</v>
      </c>
      <c r="E25" s="2" t="n">
        <v>0.81</v>
      </c>
      <c r="F25" s="2" t="n">
        <v>0.85</v>
      </c>
      <c r="G25" s="2" t="n">
        <v>1.4</v>
      </c>
      <c r="H25" s="2" t="n">
        <v>1.9</v>
      </c>
      <c r="I25" s="348" t="n">
        <v>0.23</v>
      </c>
      <c r="J25" s="346" t="n">
        <v>-0.14</v>
      </c>
      <c r="K25" s="348" t="n">
        <v>-0.02</v>
      </c>
      <c r="L25" s="348" t="n">
        <v>0.03</v>
      </c>
      <c r="M25" s="2" t="n">
        <v>0.24</v>
      </c>
      <c r="N25" s="347" t="str">
        <f aca="false">IF(AND(E25&gt;=0.7,F25&lt;=1.35,F25&gt;=0.65,G25&gt;=-5,G25&lt;=5,H25&lt;=7,I25&lt;=0.3,L25&lt;=0.3,M25&lt;=5),"PASS","FAIL")</f>
        <v>PASS</v>
      </c>
    </row>
    <row r="26" customFormat="false" ht="15.75" hidden="false" customHeight="true" outlineLevel="0" collapsed="false">
      <c r="A26" s="2" t="n">
        <v>27</v>
      </c>
      <c r="B26" s="352" t="n">
        <v>5</v>
      </c>
      <c r="C26" s="231" t="n">
        <v>44470</v>
      </c>
      <c r="D26" s="231" t="n">
        <v>44491</v>
      </c>
      <c r="E26" s="2" t="n">
        <v>0.82</v>
      </c>
      <c r="F26" s="2" t="n">
        <v>0.82</v>
      </c>
      <c r="G26" s="2" t="n">
        <v>1.79</v>
      </c>
      <c r="H26" s="2" t="n">
        <v>1.59</v>
      </c>
      <c r="I26" s="348" t="n">
        <v>0.17</v>
      </c>
      <c r="J26" s="346" t="n">
        <v>-0.1</v>
      </c>
      <c r="K26" s="348" t="n">
        <v>-0.01</v>
      </c>
      <c r="L26" s="348" t="n">
        <v>0.01</v>
      </c>
      <c r="M26" s="2" t="n">
        <v>0.1</v>
      </c>
      <c r="N26" s="347" t="str">
        <f aca="false">IF(AND(E26&gt;=0.7,F26&lt;=1.35,F26&gt;=0.65,G26&gt;=-5,G26&lt;=5,H26&lt;=7,I26&lt;=0.3,L26&lt;=0.3,M26&lt;=5),"PASS","FAIL")</f>
        <v>PASS</v>
      </c>
    </row>
    <row r="27" customFormat="false" ht="15.75" hidden="false" customHeight="true" outlineLevel="0" collapsed="false">
      <c r="A27" s="2" t="n">
        <v>28</v>
      </c>
      <c r="B27" s="352" t="n">
        <v>5</v>
      </c>
      <c r="C27" s="231" t="n">
        <v>44470</v>
      </c>
      <c r="D27" s="231" t="n">
        <v>44491</v>
      </c>
      <c r="E27" s="2" t="n">
        <v>0.8</v>
      </c>
      <c r="F27" s="2" t="n">
        <v>0.8</v>
      </c>
      <c r="G27" s="2" t="n">
        <v>1.68</v>
      </c>
      <c r="H27" s="2" t="n">
        <v>1.63</v>
      </c>
      <c r="I27" s="348" t="n">
        <v>0.17</v>
      </c>
      <c r="J27" s="346" t="n">
        <v>0.25</v>
      </c>
      <c r="K27" s="348" t="n">
        <v>0.03</v>
      </c>
      <c r="L27" s="348" t="n">
        <v>0.01</v>
      </c>
      <c r="M27" s="2" t="n">
        <v>0.14</v>
      </c>
      <c r="N27" s="347" t="str">
        <f aca="false">IF(AND(E27&gt;=0.7,F27&lt;=1.35,F27&gt;=0.65,G27&gt;=-5,G27&lt;=5,H27&lt;=7,I27&lt;=0.3,L27&lt;=0.3,M27&lt;=5),"PASS","FAIL")</f>
        <v>PASS</v>
      </c>
    </row>
    <row r="28" customFormat="false" ht="15.75" hidden="false" customHeight="true" outlineLevel="0" collapsed="false">
      <c r="A28" s="2" t="n">
        <v>33</v>
      </c>
      <c r="B28" s="352" t="n">
        <v>5</v>
      </c>
      <c r="C28" s="231" t="n">
        <v>44470</v>
      </c>
      <c r="D28" s="231" t="n">
        <v>44491</v>
      </c>
      <c r="E28" s="2" t="n">
        <v>0.77</v>
      </c>
      <c r="F28" s="2" t="n">
        <v>0.77</v>
      </c>
      <c r="G28" s="2" t="n">
        <v>1.79</v>
      </c>
      <c r="H28" s="2" t="n">
        <v>1.75</v>
      </c>
      <c r="I28" s="348" t="n">
        <v>0.19</v>
      </c>
      <c r="J28" s="346" t="n">
        <v>0.82</v>
      </c>
      <c r="K28" s="348" t="n">
        <v>0.08</v>
      </c>
      <c r="L28" s="348" t="n">
        <v>0.03</v>
      </c>
      <c r="M28" s="2" t="n">
        <v>0.24</v>
      </c>
      <c r="N28" s="347" t="str">
        <f aca="false">IF(AND(E28&gt;=0.7,F28&lt;=1.35,F28&gt;=0.65,G28&gt;=-5,G28&lt;=5,H28&lt;=7,I28&lt;=0.3,L28&lt;=0.3,M28&lt;=5),"PASS","FAIL")</f>
        <v>PASS</v>
      </c>
    </row>
    <row r="29" customFormat="false" ht="15.75" hidden="false" customHeight="true" outlineLevel="0" collapsed="false">
      <c r="A29" s="2" t="n">
        <v>34</v>
      </c>
      <c r="B29" s="352" t="n">
        <v>5</v>
      </c>
      <c r="C29" s="231" t="n">
        <v>44470</v>
      </c>
      <c r="D29" s="231" t="n">
        <v>44491</v>
      </c>
      <c r="E29" s="2" t="n">
        <v>0.81</v>
      </c>
      <c r="F29" s="2" t="n">
        <v>0.83</v>
      </c>
      <c r="G29" s="2" t="n">
        <v>1.92</v>
      </c>
      <c r="H29" s="2" t="n">
        <v>1.62</v>
      </c>
      <c r="I29" s="348" t="n">
        <v>0.17</v>
      </c>
      <c r="J29" s="346" t="n">
        <v>-0.4</v>
      </c>
      <c r="K29" s="348" t="n">
        <v>-0.04</v>
      </c>
      <c r="L29" s="348" t="n">
        <v>0.02</v>
      </c>
      <c r="M29" s="2" t="n">
        <v>0.2</v>
      </c>
      <c r="N29" s="347" t="str">
        <f aca="false">IF(AND(E29&gt;=0.7,F29&lt;=1.35,F29&gt;=0.65,G29&gt;=-5,G29&lt;=5,H29&lt;=7,I29&lt;=0.3,L29&lt;=0.3,M29&lt;=5),"PASS","FAIL")</f>
        <v>PASS</v>
      </c>
    </row>
    <row r="30" customFormat="false" ht="15.75" hidden="false" customHeight="true" outlineLevel="0" collapsed="false">
      <c r="A30" s="2" t="n">
        <v>36</v>
      </c>
      <c r="B30" s="352" t="n">
        <v>5</v>
      </c>
      <c r="C30" s="231" t="n">
        <v>44470</v>
      </c>
      <c r="D30" s="231" t="n">
        <v>44491</v>
      </c>
      <c r="E30" s="2" t="n">
        <v>0.81</v>
      </c>
      <c r="F30" s="2" t="n">
        <v>0.81</v>
      </c>
      <c r="G30" s="2" t="n">
        <v>1.6</v>
      </c>
      <c r="H30" s="2" t="n">
        <v>1.63</v>
      </c>
      <c r="I30" s="348" t="n">
        <v>0.17</v>
      </c>
      <c r="J30" s="346" t="n">
        <v>0.26</v>
      </c>
      <c r="K30" s="348" t="n">
        <v>0.03</v>
      </c>
      <c r="L30" s="348" t="n">
        <v>0.01</v>
      </c>
      <c r="M30" s="2" t="n">
        <v>0.09</v>
      </c>
      <c r="N30" s="347" t="str">
        <f aca="false">IF(AND(E30&gt;=0.7,F30&lt;=1.35,F30&gt;=0.65,G30&gt;=-5,G30&lt;=5,H30&lt;=7,I30&lt;=0.3,L30&lt;=0.3,M30&lt;=5),"PASS","FAIL")</f>
        <v>PASS</v>
      </c>
    </row>
    <row r="31" customFormat="false" ht="15.75" hidden="false" customHeight="true" outlineLevel="0" collapsed="false">
      <c r="A31" s="2" t="n">
        <v>37</v>
      </c>
      <c r="B31" s="352" t="n">
        <v>5</v>
      </c>
      <c r="C31" s="231" t="n">
        <v>44470</v>
      </c>
      <c r="D31" s="231" t="n">
        <v>44491</v>
      </c>
      <c r="E31" s="2" t="n">
        <v>0.81</v>
      </c>
      <c r="F31" s="2" t="n">
        <v>0.81</v>
      </c>
      <c r="G31" s="2" t="n">
        <v>1.71</v>
      </c>
      <c r="H31" s="2" t="n">
        <v>1.6</v>
      </c>
      <c r="I31" s="348" t="n">
        <v>0.17</v>
      </c>
      <c r="J31" s="346" t="n">
        <v>0.11</v>
      </c>
      <c r="K31" s="348" t="n">
        <v>0.01</v>
      </c>
      <c r="L31" s="348" t="n">
        <v>0.01</v>
      </c>
      <c r="M31" s="2" t="n">
        <v>0.1</v>
      </c>
      <c r="N31" s="347" t="str">
        <f aca="false">IF(AND(E31&gt;=0.7,F31&lt;=1.35,F31&gt;=0.65,G31&gt;=-5,G31&lt;=5,H31&lt;=7,I31&lt;=0.3,L31&lt;=0.3,M31&lt;=5),"PASS","FAIL")</f>
        <v>PASS</v>
      </c>
    </row>
    <row r="32" customFormat="false" ht="15.75" hidden="false" customHeight="true" outlineLevel="0" collapsed="false">
      <c r="A32" s="2" t="n">
        <v>50</v>
      </c>
      <c r="B32" s="353" t="n">
        <v>6</v>
      </c>
      <c r="C32" s="231" t="n">
        <v>44979</v>
      </c>
      <c r="D32" s="231" t="n">
        <v>45015</v>
      </c>
      <c r="E32" s="2" t="n">
        <v>0.84</v>
      </c>
      <c r="F32" s="2" t="n">
        <v>0.85</v>
      </c>
      <c r="G32" s="2" t="n">
        <v>2.07</v>
      </c>
      <c r="H32" s="2" t="n">
        <v>2.3</v>
      </c>
      <c r="I32" s="348" t="n">
        <v>0.23</v>
      </c>
      <c r="J32" s="346" t="n">
        <v>-0.64</v>
      </c>
      <c r="K32" s="348" t="n">
        <v>-0.06</v>
      </c>
      <c r="L32" s="348" t="n">
        <v>0.02</v>
      </c>
      <c r="M32" s="2" t="n">
        <v>0.2</v>
      </c>
      <c r="N32" s="347" t="str">
        <f aca="false">IF(AND(E32&gt;=0.7,F32&lt;=1.35,F32&gt;=0.65,G32&gt;=-5,G32&lt;=5,H32&lt;=7,I32&lt;=0.3,L32&lt;=0.3,M32&lt;=5),"PASS","FAIL")</f>
        <v>PASS</v>
      </c>
    </row>
    <row r="33" customFormat="false" ht="15.75" hidden="false" customHeight="true" outlineLevel="0" collapsed="false">
      <c r="A33" s="2" t="n">
        <v>51</v>
      </c>
      <c r="B33" s="353" t="n">
        <v>6</v>
      </c>
      <c r="C33" s="231" t="n">
        <v>44979</v>
      </c>
      <c r="D33" s="231" t="n">
        <v>45015</v>
      </c>
      <c r="E33" s="2" t="n">
        <v>0.85</v>
      </c>
      <c r="F33" s="2" t="n">
        <v>0.83</v>
      </c>
      <c r="G33" s="2" t="n">
        <v>2.06</v>
      </c>
      <c r="H33" s="2" t="n">
        <v>2.26</v>
      </c>
      <c r="I33" s="348" t="n">
        <v>0.22</v>
      </c>
      <c r="J33" s="346" t="n">
        <v>-0.4</v>
      </c>
      <c r="K33" s="348" t="n">
        <v>-0.04</v>
      </c>
      <c r="L33" s="348" t="n">
        <v>0.02</v>
      </c>
      <c r="M33" s="2" t="n">
        <v>0.2</v>
      </c>
      <c r="N33" s="347" t="str">
        <f aca="false">IF(AND(E33&gt;=0.7,F33&lt;=1.35,F33&gt;=0.65,G33&gt;=-5,G33&lt;=5,H33&lt;=7,I33&lt;=0.3,L33&lt;=0.3,M33&lt;=5),"PASS","FAIL")</f>
        <v>PASS</v>
      </c>
    </row>
    <row r="34" customFormat="false" ht="15.75" hidden="false" customHeight="true" outlineLevel="0" collapsed="false">
      <c r="A34" s="2" t="n">
        <v>52</v>
      </c>
      <c r="B34" s="353" t="n">
        <v>6</v>
      </c>
      <c r="C34" s="231" t="n">
        <v>44979</v>
      </c>
      <c r="D34" s="231" t="n">
        <v>45015</v>
      </c>
      <c r="E34" s="2" t="n">
        <v>0.83</v>
      </c>
      <c r="F34" s="2" t="n">
        <v>0.79</v>
      </c>
      <c r="G34" s="2" t="n">
        <v>2.21</v>
      </c>
      <c r="H34" s="2" t="n">
        <v>2.42</v>
      </c>
      <c r="I34" s="348" t="n">
        <v>0.24</v>
      </c>
      <c r="J34" s="346" t="n">
        <v>-0.19</v>
      </c>
      <c r="K34" s="348" t="n">
        <v>-0.02</v>
      </c>
      <c r="L34" s="348" t="n">
        <v>0.04</v>
      </c>
      <c r="M34" s="2" t="n">
        <v>0.31</v>
      </c>
      <c r="N34" s="347" t="str">
        <f aca="false">IF(AND(E34&gt;=0.7,F34&lt;=1.35,F34&gt;=0.65,G34&gt;=-5,G34&lt;=5,H34&lt;=7,I34&lt;=0.3,L34&lt;=0.3,M34&lt;=5),"PASS","FAIL")</f>
        <v>PASS</v>
      </c>
    </row>
    <row r="35" customFormat="false" ht="15.75" hidden="false" customHeight="true" outlineLevel="0" collapsed="false">
      <c r="A35" s="2" t="n">
        <v>53</v>
      </c>
      <c r="B35" s="353" t="n">
        <v>6</v>
      </c>
      <c r="C35" s="231" t="n">
        <v>44979</v>
      </c>
      <c r="D35" s="231" t="n">
        <v>45015</v>
      </c>
      <c r="E35" s="2" t="n">
        <v>0.86</v>
      </c>
      <c r="F35" s="2" t="n">
        <v>0.85</v>
      </c>
      <c r="G35" s="2" t="n">
        <v>2.02</v>
      </c>
      <c r="H35" s="2" t="n">
        <v>2.23</v>
      </c>
      <c r="I35" s="348" t="n">
        <v>0.22</v>
      </c>
      <c r="J35" s="346" t="n">
        <v>-0.6</v>
      </c>
      <c r="K35" s="348" t="n">
        <v>-0.06</v>
      </c>
      <c r="L35" s="348" t="n">
        <v>0.02</v>
      </c>
      <c r="M35" s="2" t="n">
        <v>0.14</v>
      </c>
      <c r="N35" s="347" t="str">
        <f aca="false">IF(AND(E35&gt;=0.7,F35&lt;=1.35,F35&gt;=0.65,G35&gt;=-5,G35&lt;=5,H35&lt;=7,I35&lt;=0.3,L35&lt;=0.3,M35&lt;=5),"PASS","FAIL")</f>
        <v>PASS</v>
      </c>
    </row>
    <row r="36" customFormat="false" ht="15.75" hidden="false" customHeight="true" outlineLevel="0" collapsed="false">
      <c r="A36" s="2" t="n">
        <v>54</v>
      </c>
      <c r="B36" s="353" t="n">
        <v>6</v>
      </c>
      <c r="C36" s="231" t="n">
        <v>44979</v>
      </c>
      <c r="D36" s="231" t="n">
        <v>45015</v>
      </c>
      <c r="E36" s="2" t="n">
        <v>0.85</v>
      </c>
      <c r="F36" s="2" t="n">
        <v>0.82</v>
      </c>
      <c r="G36" s="2" t="n">
        <v>1.82</v>
      </c>
      <c r="H36" s="2" t="n">
        <v>2.25</v>
      </c>
      <c r="I36" s="348" t="n">
        <v>0.22</v>
      </c>
      <c r="J36" s="346" t="n">
        <v>-0.01</v>
      </c>
      <c r="K36" s="348" t="n">
        <v>0</v>
      </c>
      <c r="L36" s="348" t="n">
        <v>0.02</v>
      </c>
      <c r="M36" s="2" t="n">
        <v>0.22</v>
      </c>
      <c r="N36" s="347" t="str">
        <f aca="false">IF(AND(E36&gt;=0.7,F36&lt;=1.35,F36&gt;=0.65,G36&gt;=-5,G36&lt;=5,H36&lt;=7,I36&lt;=0.3,L36&lt;=0.3,M36&lt;=5),"PASS","FAIL")</f>
        <v>PASS</v>
      </c>
    </row>
    <row r="37" customFormat="false" ht="15.75" hidden="false" customHeight="true" outlineLevel="0" collapsed="false">
      <c r="A37" s="2" t="n">
        <v>55</v>
      </c>
      <c r="B37" s="353" t="n">
        <v>6</v>
      </c>
      <c r="C37" s="234" t="n">
        <v>44979</v>
      </c>
      <c r="D37" s="231" t="n">
        <v>45015</v>
      </c>
      <c r="E37" s="2" t="n">
        <v>0.85</v>
      </c>
      <c r="F37" s="2" t="n">
        <v>0.87</v>
      </c>
      <c r="G37" s="2" t="n">
        <v>2.01</v>
      </c>
      <c r="H37" s="2" t="n">
        <v>2.24</v>
      </c>
      <c r="I37" s="348" t="n">
        <v>0.22</v>
      </c>
      <c r="J37" s="346" t="n">
        <v>-0.79</v>
      </c>
      <c r="K37" s="348" t="n">
        <v>-0.08</v>
      </c>
      <c r="L37" s="348" t="n">
        <v>0.03</v>
      </c>
      <c r="M37" s="2" t="n">
        <v>0.29</v>
      </c>
      <c r="N37" s="347" t="str">
        <f aca="false">IF(AND(E37&gt;=0.7,F37&lt;=1.35,F37&gt;=0.65,G37&gt;=-5,G37&lt;=5,H37&lt;=7,I37&lt;=0.3,L37&lt;=0.3,M37&lt;=5),"PASS","FAIL")</f>
        <v>PASS</v>
      </c>
    </row>
    <row r="38" customFormat="false" ht="15.75" hidden="false" customHeight="true" outlineLevel="0" collapsed="false">
      <c r="A38" s="2" t="s">
        <v>1599</v>
      </c>
      <c r="E38" s="2" t="n">
        <f aca="false">_xlfn.MINIFS(E3:E37,$N$3:$N$37,"PASS")</f>
        <v>0.71</v>
      </c>
      <c r="F38" s="2" t="n">
        <f aca="false">_xlfn.MINIFS(F$3:F$37,$N$3:$N$37,"PASS")</f>
        <v>0.7</v>
      </c>
      <c r="G38" s="2" t="n">
        <f aca="false">_xlfn.MINIFS(G$3:G$37,$N$3:$N$37,"PASS")</f>
        <v>-2.15</v>
      </c>
      <c r="H38" s="2" t="n">
        <f aca="false">_xlfn.MINIFS(H$3:H$37,$N$3:$N$37,"PASS")</f>
        <v>1.59</v>
      </c>
      <c r="I38" s="348" t="n">
        <f aca="false">_xlfn.MINIFS(I$3:I$37,$N$3:$N$37,"PASS")</f>
        <v>0.16</v>
      </c>
      <c r="J38" s="347" t="n">
        <f aca="false">_xlfn.MINIFS(J$3:J$37,$N$3:$N$37,"PASS")</f>
        <v>-0.92</v>
      </c>
      <c r="K38" s="348" t="n">
        <f aca="false">_xlfn.MINIFS(K$3:K$37,$N$3:$N$37,"PASS")</f>
        <v>-0.08</v>
      </c>
      <c r="L38" s="348" t="n">
        <f aca="false">_xlfn.MINIFS(L$3:L$37,$N$3:$N$37,"PASS")</f>
        <v>0.01</v>
      </c>
      <c r="M38" s="2" t="n">
        <f aca="false">_xlfn.MINIFS(M$3:M$37,$N$3:$N$37,"PASS")</f>
        <v>0.09</v>
      </c>
    </row>
    <row r="39" customFormat="false" ht="15.75" hidden="false" customHeight="true" outlineLevel="0" collapsed="false">
      <c r="A39" s="2" t="s">
        <v>1600</v>
      </c>
      <c r="E39" s="354" t="n">
        <f aca="false">AVERAGEIFS(E3:E37,$N$3:$N$37,"PASS")</f>
        <v>0.814848484848485</v>
      </c>
      <c r="F39" s="354" t="n">
        <f aca="false">AVERAGEIFS(F$3:F$37,$N$3:$N$37,"PASS")</f>
        <v>0.853030303030303</v>
      </c>
      <c r="G39" s="354" t="n">
        <f aca="false">AVERAGEIFS(G$3:G$37,$N$3:$N$37,"PASS")</f>
        <v>1.36484848484848</v>
      </c>
      <c r="H39" s="354" t="n">
        <f aca="false">AVERAGEIFS(H$3:H$37,$N$3:$N$37,"PASS")</f>
        <v>2.26275862068966</v>
      </c>
      <c r="I39" s="348" t="n">
        <f aca="false">AVERAGEIFS(I$3:I$37,$N$3:$N$37,"PASS")</f>
        <v>0.197586206896552</v>
      </c>
      <c r="J39" s="354" t="n">
        <f aca="false">AVERAGEIFS(J$3:J$37,$N$3:$N$37,"PASS")</f>
        <v>0.0551724137931034</v>
      </c>
      <c r="K39" s="348" t="n">
        <f aca="false">AVERAGEIFS(K$3:K$37,$N$3:$N$37,"PASS")</f>
        <v>0.00724137931034483</v>
      </c>
      <c r="L39" s="348" t="n">
        <f aca="false">AVERAGEIFS(L$3:L$37,$N$3:$N$37,"PASS")</f>
        <v>0.0225</v>
      </c>
      <c r="M39" s="354" t="n">
        <f aca="false">AVERAGEIFS(M$3:M$37,$N$3:$N$37,"PASS")</f>
        <v>0.2125</v>
      </c>
    </row>
    <row r="40" customFormat="false" ht="15.75" hidden="false" customHeight="true" outlineLevel="0" collapsed="false">
      <c r="A40" s="2" t="s">
        <v>1601</v>
      </c>
      <c r="E40" s="2" t="n">
        <f aca="false">_xlfn.MAXIFS(E3:E37,$N$3:$N$37,"PASS")</f>
        <v>0.89</v>
      </c>
      <c r="F40" s="2" t="n">
        <f aca="false">_xlfn.MAXIFS(F$3:F$37,$N$3:$N$37,"PASS")</f>
        <v>1.18</v>
      </c>
      <c r="G40" s="2" t="n">
        <f aca="false">_xlfn.MAXIFS(G$3:G$37,$N$3:$N$37,"PASS")</f>
        <v>2.78</v>
      </c>
      <c r="H40" s="2" t="n">
        <f aca="false">_xlfn.MAXIFS(H$3:H$37,$N$3:$N$37,"PASS")</f>
        <v>3.6</v>
      </c>
      <c r="I40" s="348" t="n">
        <f aca="false">_xlfn.MAXIFS(I$3:I$37,$N$3:$N$37,"PASS")</f>
        <v>0.25</v>
      </c>
      <c r="J40" s="347" t="n">
        <f aca="false">_xlfn.MAXIFS(J$3:J$37,$N$3:$N$37,"PASS")</f>
        <v>0.88</v>
      </c>
      <c r="K40" s="348" t="n">
        <f aca="false">_xlfn.MAXIFS(K$3:K$37,$N$3:$N$37,"PASS")</f>
        <v>0.09</v>
      </c>
      <c r="L40" s="348" t="n">
        <f aca="false">_xlfn.MAXIFS(L$3:L$37,$N$3:$N$37,"PASS")</f>
        <v>0.04</v>
      </c>
      <c r="M40" s="2" t="n">
        <f aca="false">_xlfn.MAXIFS(M$3:M$37,$N$3:$N$37,"PASS")</f>
        <v>0.31</v>
      </c>
    </row>
  </sheetData>
  <conditionalFormatting sqref="E3:E1004">
    <cfRule type="cellIs" priority="2" operator="greaterThanOrEqual" aboveAverage="0" equalAverage="0" bottom="0" percent="0" rank="0" text="" dxfId="47">
      <formula>0.85</formula>
    </cfRule>
    <cfRule type="cellIs" priority="3" operator="greaterThanOrEqual" aboveAverage="0" equalAverage="0" bottom="0" percent="0" rank="0" text="" dxfId="48">
      <formula>0.7</formula>
    </cfRule>
    <cfRule type="cellIs" priority="4" operator="lessThan" aboveAverage="0" equalAverage="0" bottom="0" percent="0" rank="0" text="" dxfId="49">
      <formula>0.7</formula>
    </cfRule>
  </conditionalFormatting>
  <conditionalFormatting sqref="F3:F1004">
    <cfRule type="cellIs" priority="5" operator="between" aboveAverage="0" equalAverage="0" bottom="0" percent="0" rank="0" text="" dxfId="50">
      <formula>0.8</formula>
      <formula>1.2</formula>
    </cfRule>
    <cfRule type="cellIs" priority="6" operator="between" aboveAverage="0" equalAverage="0" bottom="0" percent="0" rank="0" text="" dxfId="51">
      <formula>0.65</formula>
      <formula>1.35</formula>
    </cfRule>
    <cfRule type="cellIs" priority="7" operator="notBetween" aboveAverage="0" equalAverage="0" bottom="0" percent="0" rank="0" text="" dxfId="52">
      <formula>0.65</formula>
      <formula>1.35</formula>
    </cfRule>
  </conditionalFormatting>
  <conditionalFormatting sqref="G3:G1004">
    <cfRule type="cellIs" priority="8" operator="between" aboveAverage="0" equalAverage="0" bottom="0" percent="0" rank="0" text="" dxfId="53">
      <formula>-2.5</formula>
      <formula>2.5</formula>
    </cfRule>
    <cfRule type="cellIs" priority="9" operator="between" aboveAverage="0" equalAverage="0" bottom="0" percent="0" rank="0" text="" dxfId="54">
      <formula>-5</formula>
      <formula>5</formula>
    </cfRule>
    <cfRule type="cellIs" priority="10" operator="notBetween" aboveAverage="0" equalAverage="0" bottom="0" percent="0" rank="0" text="" dxfId="55">
      <formula>-5</formula>
      <formula>5</formula>
    </cfRule>
  </conditionalFormatting>
  <conditionalFormatting sqref="H3:H1004">
    <cfRule type="cellIs" priority="11" operator="lessThanOrEqual" aboveAverage="0" equalAverage="0" bottom="0" percent="0" rank="0" text="" dxfId="56">
      <formula>4</formula>
    </cfRule>
    <cfRule type="cellIs" priority="12" operator="lessThanOrEqual" aboveAverage="0" equalAverage="0" bottom="0" percent="0" rank="0" text="" dxfId="57">
      <formula>7</formula>
    </cfRule>
    <cfRule type="cellIs" priority="13" operator="greaterThan" aboveAverage="0" equalAverage="0" bottom="0" percent="0" rank="0" text="" dxfId="58">
      <formula>7</formula>
    </cfRule>
  </conditionalFormatting>
  <conditionalFormatting sqref="I3:I1004">
    <cfRule type="cellIs" priority="14" operator="lessThanOrEqual" aboveAverage="0" equalAverage="0" bottom="0" percent="0" rank="0" text="" dxfId="59">
      <formula>"20%"</formula>
    </cfRule>
    <cfRule type="cellIs" priority="15" operator="lessThanOrEqual" aboveAverage="0" equalAverage="0" bottom="0" percent="0" rank="0" text="" dxfId="60">
      <formula>"30%"</formula>
    </cfRule>
    <cfRule type="cellIs" priority="16" operator="greaterThan" aboveAverage="0" equalAverage="0" bottom="0" percent="0" rank="0" text="" dxfId="61">
      <formula>"30%"</formula>
    </cfRule>
  </conditionalFormatting>
  <conditionalFormatting sqref="M3:M1004">
    <cfRule type="cellIs" priority="17" operator="lessThanOrEqual" aboveAverage="0" equalAverage="0" bottom="0" percent="0" rank="0" text="" dxfId="62">
      <formula>2.5</formula>
    </cfRule>
    <cfRule type="cellIs" priority="18" operator="lessThanOrEqual" aboveAverage="0" equalAverage="0" bottom="0" percent="0" rank="0" text="" dxfId="63">
      <formula>5</formula>
    </cfRule>
    <cfRule type="cellIs" priority="19" operator="greaterThan" aboveAverage="0" equalAverage="0" bottom="0" percent="0" rank="0" text="" dxfId="64">
      <formula>5</formula>
    </cfRule>
  </conditionalFormatting>
  <conditionalFormatting sqref="N3:N1004">
    <cfRule type="cellIs" priority="20" operator="equal" aboveAverage="0" equalAverage="0" bottom="0" percent="0" rank="0" text="" dxfId="65">
      <formula>"PASS"</formula>
    </cfRule>
    <cfRule type="cellIs" priority="21" operator="equal" aboveAverage="0" equalAverage="0" bottom="0" percent="0" rank="0" text="" dxfId="66">
      <formula>"FAIL"</formula>
    </cfRule>
  </conditionalFormatting>
  <conditionalFormatting sqref="L3:L1004">
    <cfRule type="cellIs" priority="22" operator="lessThanOrEqual" aboveAverage="0" equalAverage="0" bottom="0" percent="0" rank="0" text="" dxfId="67">
      <formula>"20%"</formula>
    </cfRule>
    <cfRule type="cellIs" priority="23" operator="lessThanOrEqual" aboveAverage="0" equalAverage="0" bottom="0" percent="0" rank="0" text="" dxfId="68">
      <formula>30</formula>
    </cfRule>
    <cfRule type="cellIs" priority="24" operator="greaterThan" aboveAverage="0" equalAverage="0" bottom="0" percent="0" rank="0" text="" dxfId="69">
      <formula>"30%"</formula>
    </cfRule>
  </conditionalFormatting>
  <conditionalFormatting sqref="K3:K1004">
    <cfRule type="cellIs" priority="25" operator="between" aboveAverage="0" equalAverage="0" bottom="0" percent="0" rank="0" text="" dxfId="70">
      <formula>-0.1</formula>
      <formula>0.1</formula>
    </cfRule>
    <cfRule type="cellIs" priority="26" operator="between" aboveAverage="0" equalAverage="0" bottom="0" percent="0" rank="0" text="" dxfId="71">
      <formula>-0.25</formula>
      <formula>0.25</formula>
    </cfRule>
    <cfRule type="cellIs" priority="27" operator="notBetween" aboveAverage="0" equalAverage="0" bottom="0" percent="0" rank="0" text="" dxfId="72">
      <formula>-0.25</formula>
      <formula>0.25</formula>
    </cfRule>
  </conditionalFormatting>
  <conditionalFormatting sqref="J3:J1004">
    <cfRule type="cellIs" priority="28" operator="between" aboveAverage="0" equalAverage="0" bottom="0" percent="0" rank="0" text="" dxfId="73">
      <formula>-1</formula>
      <formula>1</formula>
    </cfRule>
    <cfRule type="cellIs" priority="29" operator="between" aboveAverage="0" equalAverage="0" bottom="0" percent="0" rank="0" text="" dxfId="74">
      <formula>-2.5</formula>
      <formula>2.5</formula>
    </cfRule>
    <cfRule type="cellIs" priority="30" operator="notBetween" aboveAverage="0" equalAverage="0" bottom="0" percent="0" rank="0" text="" dxfId="75">
      <formula>-2.5</formula>
      <formula>2.5</formula>
    </cfRule>
  </conditionalFormatting>
  <printOptions headings="false" gridLines="false" gridLinesSet="true" horizontalCentered="false" verticalCentered="false"/>
  <pageMargins left="0" right="0" top="0" bottom="0"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58" activeCellId="0" sqref="I58"/>
    </sheetView>
  </sheetViews>
  <sheetFormatPr defaultColWidth="8.6796875" defaultRowHeight="12.75" zeroHeight="false" outlineLevelRow="0" outlineLevelCol="0"/>
  <cols>
    <col collapsed="false" customWidth="true" hidden="false" outlineLevel="0" max="1" min="1" style="0" width="15"/>
    <col collapsed="false" customWidth="true" hidden="false" outlineLevel="0" max="2" min="2" style="0" width="11.57"/>
    <col collapsed="false" customWidth="true" hidden="false" outlineLevel="0" max="3" min="3" style="0" width="7"/>
  </cols>
  <sheetData>
    <row r="1" customFormat="false" ht="12.75" hidden="false" customHeight="false" outlineLevel="0" collapsed="false">
      <c r="A1" s="6" t="s">
        <v>1602</v>
      </c>
      <c r="B1" s="6" t="s">
        <v>1603</v>
      </c>
      <c r="C1" s="6" t="s">
        <v>1604</v>
      </c>
    </row>
    <row r="2" customFormat="false" ht="12.75" hidden="false" customHeight="false" outlineLevel="0" collapsed="false">
      <c r="A2" s="0" t="s">
        <v>856</v>
      </c>
      <c r="B2" s="0" t="s">
        <v>68</v>
      </c>
      <c r="C2" s="0" t="n">
        <v>33763</v>
      </c>
    </row>
    <row r="3" customFormat="false" ht="12.75" hidden="false" customHeight="false" outlineLevel="0" collapsed="false">
      <c r="A3" s="0" t="s">
        <v>860</v>
      </c>
      <c r="B3" s="0" t="s">
        <v>81</v>
      </c>
      <c r="C3" s="0" t="n">
        <v>33773</v>
      </c>
    </row>
    <row r="4" customFormat="false" ht="12.75" hidden="false" customHeight="false" outlineLevel="0" collapsed="false">
      <c r="A4" s="0" t="s">
        <v>865</v>
      </c>
      <c r="B4" s="0" t="s">
        <v>81</v>
      </c>
      <c r="C4" s="0" t="n">
        <v>118637</v>
      </c>
    </row>
    <row r="5" customFormat="false" ht="12.75" hidden="false" customHeight="false" outlineLevel="0" collapsed="false">
      <c r="A5" s="0" t="s">
        <v>870</v>
      </c>
      <c r="B5" s="0" t="s">
        <v>84</v>
      </c>
      <c r="C5" s="0" t="n">
        <v>149764</v>
      </c>
    </row>
    <row r="6" customFormat="false" ht="12.75" hidden="false" customHeight="false" outlineLevel="0" collapsed="false">
      <c r="A6" s="0" t="s">
        <v>873</v>
      </c>
      <c r="B6" s="0" t="s">
        <v>92</v>
      </c>
      <c r="C6" s="0" t="n">
        <v>33839</v>
      </c>
    </row>
    <row r="7" customFormat="false" ht="12.75" hidden="false" customHeight="false" outlineLevel="0" collapsed="false">
      <c r="A7" s="0" t="s">
        <v>875</v>
      </c>
      <c r="B7" s="0" t="s">
        <v>95</v>
      </c>
      <c r="C7" s="0" t="n">
        <v>33649</v>
      </c>
    </row>
    <row r="8" customFormat="false" ht="12.75" hidden="false" customHeight="false" outlineLevel="0" collapsed="false">
      <c r="A8" s="0" t="s">
        <v>1605</v>
      </c>
      <c r="B8" s="0" t="s">
        <v>95</v>
      </c>
      <c r="C8" s="0" t="n">
        <v>119881</v>
      </c>
    </row>
    <row r="9" customFormat="false" ht="12.75" hidden="false" customHeight="false" outlineLevel="0" collapsed="false">
      <c r="A9" s="0" t="s">
        <v>877</v>
      </c>
      <c r="B9" s="0" t="s">
        <v>104</v>
      </c>
      <c r="C9" s="0" t="n">
        <v>33761</v>
      </c>
    </row>
    <row r="10" customFormat="false" ht="12.75" hidden="false" customHeight="false" outlineLevel="0" collapsed="false">
      <c r="A10" s="0" t="s">
        <v>879</v>
      </c>
      <c r="B10" s="0" t="s">
        <v>104</v>
      </c>
      <c r="C10" s="0" t="n">
        <v>118631</v>
      </c>
    </row>
    <row r="11" customFormat="false" ht="12.75" hidden="false" customHeight="false" outlineLevel="0" collapsed="false">
      <c r="A11" s="0" t="s">
        <v>884</v>
      </c>
      <c r="B11" s="0" t="s">
        <v>111</v>
      </c>
      <c r="C11" s="0" t="n">
        <v>33861</v>
      </c>
    </row>
    <row r="12" customFormat="false" ht="12.75" hidden="false" customHeight="false" outlineLevel="0" collapsed="false">
      <c r="A12" s="0" t="s">
        <v>886</v>
      </c>
      <c r="B12" s="0" t="s">
        <v>114</v>
      </c>
      <c r="C12" s="0" t="n">
        <v>33811</v>
      </c>
    </row>
    <row r="13" customFormat="false" ht="12.75" hidden="false" customHeight="false" outlineLevel="0" collapsed="false">
      <c r="A13" s="0" t="s">
        <v>888</v>
      </c>
      <c r="B13" s="0" t="s">
        <v>117</v>
      </c>
      <c r="C13" s="0" t="n">
        <v>33775</v>
      </c>
    </row>
    <row r="14" customFormat="false" ht="12.75" hidden="false" customHeight="false" outlineLevel="0" collapsed="false">
      <c r="A14" s="0" t="s">
        <v>890</v>
      </c>
      <c r="B14" s="0" t="s">
        <v>121</v>
      </c>
      <c r="C14" s="0" t="n">
        <v>33791</v>
      </c>
    </row>
    <row r="15" customFormat="false" ht="12.75" hidden="false" customHeight="false" outlineLevel="0" collapsed="false">
      <c r="A15" s="0" t="s">
        <v>892</v>
      </c>
      <c r="B15" s="0" t="s">
        <v>121</v>
      </c>
      <c r="C15" s="0" t="n">
        <v>128591</v>
      </c>
    </row>
    <row r="16" customFormat="false" ht="12.75" hidden="false" customHeight="false" outlineLevel="0" collapsed="false">
      <c r="A16" s="0" t="s">
        <v>894</v>
      </c>
      <c r="B16" s="0" t="s">
        <v>124</v>
      </c>
      <c r="C16" s="0" t="n">
        <v>33837</v>
      </c>
    </row>
    <row r="17" customFormat="false" ht="12.75" hidden="false" customHeight="false" outlineLevel="0" collapsed="false">
      <c r="A17" s="0" t="s">
        <v>896</v>
      </c>
      <c r="B17" s="0" t="s">
        <v>131</v>
      </c>
      <c r="C17" s="0" t="n">
        <v>33783</v>
      </c>
    </row>
    <row r="18" customFormat="false" ht="12.75" hidden="false" customHeight="false" outlineLevel="0" collapsed="false">
      <c r="A18" s="0" t="s">
        <v>898</v>
      </c>
      <c r="B18" s="0" t="s">
        <v>134</v>
      </c>
      <c r="C18" s="0" t="n">
        <v>104668</v>
      </c>
    </row>
    <row r="19" customFormat="false" ht="12.75" hidden="false" customHeight="false" outlineLevel="0" collapsed="false">
      <c r="A19" s="0" t="s">
        <v>900</v>
      </c>
      <c r="B19" s="0" t="s">
        <v>136</v>
      </c>
      <c r="C19" s="0" t="n">
        <v>104840</v>
      </c>
    </row>
    <row r="20" customFormat="false" ht="12.75" hidden="false" customHeight="false" outlineLevel="0" collapsed="false">
      <c r="A20" s="0" t="s">
        <v>902</v>
      </c>
      <c r="B20" s="0" t="s">
        <v>136</v>
      </c>
      <c r="C20" s="0" t="n">
        <v>137002</v>
      </c>
    </row>
    <row r="21" customFormat="false" ht="12.75" hidden="false" customHeight="false" outlineLevel="0" collapsed="false">
      <c r="A21" s="0" t="s">
        <v>903</v>
      </c>
      <c r="B21" s="0" t="s">
        <v>136</v>
      </c>
      <c r="C21" s="0" t="n">
        <v>149716</v>
      </c>
    </row>
    <row r="22" customFormat="false" ht="12.75" hidden="false" customHeight="false" outlineLevel="0" collapsed="false">
      <c r="A22" s="0" t="s">
        <v>906</v>
      </c>
      <c r="B22" s="0" t="s">
        <v>140</v>
      </c>
      <c r="C22" s="0" t="n">
        <v>104154</v>
      </c>
    </row>
    <row r="23" customFormat="false" ht="12.75" hidden="false" customHeight="false" outlineLevel="0" collapsed="false">
      <c r="A23" s="0" t="s">
        <v>908</v>
      </c>
      <c r="B23" s="0" t="s">
        <v>140</v>
      </c>
      <c r="C23" s="0" t="n">
        <v>128679</v>
      </c>
    </row>
    <row r="24" customFormat="false" ht="12.75" hidden="false" customHeight="false" outlineLevel="0" collapsed="false">
      <c r="A24" s="0" t="s">
        <v>911</v>
      </c>
      <c r="B24" s="0" t="s">
        <v>144</v>
      </c>
      <c r="C24" s="0" t="n">
        <v>104258</v>
      </c>
    </row>
    <row r="25" customFormat="false" ht="12.75" hidden="false" customHeight="false" outlineLevel="0" collapsed="false">
      <c r="A25" s="0" t="s">
        <v>913</v>
      </c>
      <c r="B25" s="0" t="s">
        <v>144</v>
      </c>
      <c r="C25" s="0" t="n">
        <v>137008</v>
      </c>
    </row>
    <row r="26" customFormat="false" ht="12.75" hidden="false" customHeight="false" outlineLevel="0" collapsed="false">
      <c r="A26" s="0" t="s">
        <v>914</v>
      </c>
      <c r="B26" s="0" t="s">
        <v>148</v>
      </c>
      <c r="C26" s="0" t="n">
        <v>104268</v>
      </c>
    </row>
    <row r="27" customFormat="false" ht="12.75" hidden="false" customHeight="false" outlineLevel="0" collapsed="false">
      <c r="A27" s="0" t="s">
        <v>916</v>
      </c>
      <c r="B27" s="0" t="s">
        <v>148</v>
      </c>
      <c r="C27" s="0" t="n">
        <v>140106</v>
      </c>
    </row>
    <row r="28" customFormat="false" ht="12.75" hidden="false" customHeight="false" outlineLevel="0" collapsed="false">
      <c r="A28" s="0" t="s">
        <v>919</v>
      </c>
      <c r="B28" s="0" t="s">
        <v>151</v>
      </c>
      <c r="C28" s="0" t="n">
        <v>104788</v>
      </c>
    </row>
    <row r="29" customFormat="false" ht="12.75" hidden="false" customHeight="false" outlineLevel="0" collapsed="false">
      <c r="A29" s="0" t="s">
        <v>921</v>
      </c>
      <c r="B29" s="0" t="s">
        <v>151</v>
      </c>
      <c r="C29" s="0" t="n">
        <v>128685</v>
      </c>
    </row>
    <row r="30" customFormat="false" ht="12.75" hidden="false" customHeight="false" outlineLevel="0" collapsed="false">
      <c r="A30" s="0" t="s">
        <v>923</v>
      </c>
      <c r="B30" s="0" t="s">
        <v>154</v>
      </c>
      <c r="C30" s="0" t="n">
        <v>104826</v>
      </c>
    </row>
    <row r="31" customFormat="false" ht="12.75" hidden="false" customHeight="false" outlineLevel="0" collapsed="false">
      <c r="A31" s="0" t="s">
        <v>925</v>
      </c>
      <c r="B31" s="0" t="s">
        <v>154</v>
      </c>
      <c r="C31" s="0" t="n">
        <v>147240</v>
      </c>
    </row>
    <row r="32" customFormat="false" ht="12.75" hidden="false" customHeight="false" outlineLevel="0" collapsed="false">
      <c r="A32" s="0" t="s">
        <v>930</v>
      </c>
      <c r="B32" s="0" t="s">
        <v>157</v>
      </c>
      <c r="C32" s="0" t="n">
        <v>104830</v>
      </c>
    </row>
    <row r="33" customFormat="false" ht="12.75" hidden="false" customHeight="false" outlineLevel="0" collapsed="false">
      <c r="A33" s="0" t="s">
        <v>931</v>
      </c>
      <c r="B33" s="0" t="s">
        <v>160</v>
      </c>
      <c r="C33" s="0" t="n">
        <v>104134</v>
      </c>
    </row>
    <row r="34" customFormat="false" ht="12.75" hidden="false" customHeight="false" outlineLevel="0" collapsed="false">
      <c r="A34" s="0" t="s">
        <v>933</v>
      </c>
      <c r="B34" s="0" t="s">
        <v>160</v>
      </c>
      <c r="C34" s="0" t="n">
        <v>134632</v>
      </c>
    </row>
    <row r="35" customFormat="false" ht="12.75" hidden="false" customHeight="false" outlineLevel="0" collapsed="false">
      <c r="A35" s="0" t="s">
        <v>936</v>
      </c>
      <c r="B35" s="0" t="s">
        <v>164</v>
      </c>
      <c r="C35" s="0" t="n">
        <v>104132</v>
      </c>
    </row>
    <row r="36" customFormat="false" ht="12.75" hidden="false" customHeight="false" outlineLevel="0" collapsed="false">
      <c r="A36" s="0" t="s">
        <v>938</v>
      </c>
      <c r="B36" s="0" t="s">
        <v>164</v>
      </c>
      <c r="C36" s="0" t="n">
        <v>131379</v>
      </c>
    </row>
    <row r="37" customFormat="false" ht="12.75" hidden="false" customHeight="false" outlineLevel="0" collapsed="false">
      <c r="A37" s="0" t="s">
        <v>940</v>
      </c>
      <c r="B37" s="0" t="s">
        <v>167</v>
      </c>
      <c r="C37" s="0" t="n">
        <v>104178</v>
      </c>
    </row>
    <row r="38" customFormat="false" ht="12.75" hidden="false" customHeight="false" outlineLevel="0" collapsed="false">
      <c r="A38" s="0" t="s">
        <v>942</v>
      </c>
      <c r="B38" s="0" t="s">
        <v>167</v>
      </c>
      <c r="C38" s="0" t="n">
        <v>140404</v>
      </c>
    </row>
    <row r="39" customFormat="false" ht="12.75" hidden="false" customHeight="false" outlineLevel="0" collapsed="false">
      <c r="A39" s="0" t="s">
        <v>944</v>
      </c>
      <c r="B39" s="0" t="s">
        <v>172</v>
      </c>
      <c r="C39" s="0" t="n">
        <v>104770</v>
      </c>
    </row>
    <row r="40" customFormat="false" ht="12.75" hidden="false" customHeight="false" outlineLevel="0" collapsed="false">
      <c r="A40" s="0" t="s">
        <v>946</v>
      </c>
      <c r="B40" s="0" t="s">
        <v>172</v>
      </c>
      <c r="C40" s="0" t="n">
        <v>139366</v>
      </c>
    </row>
    <row r="41" customFormat="false" ht="12.75" hidden="false" customHeight="false" outlineLevel="0" collapsed="false">
      <c r="A41" s="0" t="s">
        <v>947</v>
      </c>
      <c r="B41" s="0" t="s">
        <v>172</v>
      </c>
      <c r="C41" s="0" t="n">
        <v>178397</v>
      </c>
    </row>
    <row r="42" customFormat="false" ht="12.75" hidden="false" customHeight="false" outlineLevel="0" collapsed="false">
      <c r="A42" s="0" t="s">
        <v>949</v>
      </c>
      <c r="B42" s="0" t="s">
        <v>175</v>
      </c>
      <c r="C42" s="0" t="n">
        <v>104824</v>
      </c>
    </row>
    <row r="43" customFormat="false" ht="12.75" hidden="false" customHeight="false" outlineLevel="0" collapsed="false">
      <c r="A43" s="0" t="s">
        <v>951</v>
      </c>
      <c r="B43" s="0" t="s">
        <v>175</v>
      </c>
      <c r="C43" s="0" t="n">
        <v>135364</v>
      </c>
    </row>
    <row r="44" customFormat="false" ht="12.75" hidden="false" customHeight="false" outlineLevel="0" collapsed="false">
      <c r="A44" s="0" t="s">
        <v>953</v>
      </c>
      <c r="B44" s="0" t="s">
        <v>178</v>
      </c>
      <c r="C44" s="0" t="n">
        <v>104838</v>
      </c>
    </row>
    <row r="45" customFormat="false" ht="12.75" hidden="false" customHeight="false" outlineLevel="0" collapsed="false">
      <c r="A45" s="0" t="s">
        <v>955</v>
      </c>
      <c r="B45" s="0" t="s">
        <v>178</v>
      </c>
      <c r="C45" s="0" t="n">
        <v>135366</v>
      </c>
    </row>
    <row r="46" customFormat="false" ht="12.75" hidden="false" customHeight="false" outlineLevel="0" collapsed="false">
      <c r="A46" s="0" t="s">
        <v>956</v>
      </c>
      <c r="B46" s="0" t="s">
        <v>182</v>
      </c>
      <c r="C46" s="0" t="n">
        <v>104844</v>
      </c>
    </row>
    <row r="47" customFormat="false" ht="12.75" hidden="false" customHeight="false" outlineLevel="0" collapsed="false">
      <c r="A47" s="0" t="s">
        <v>958</v>
      </c>
      <c r="B47" s="0" t="s">
        <v>182</v>
      </c>
      <c r="C47" s="0" t="n">
        <v>135368</v>
      </c>
    </row>
    <row r="48" customFormat="false" ht="12.75" hidden="false" customHeight="false" outlineLevel="0" collapsed="false">
      <c r="A48" s="0" t="s">
        <v>959</v>
      </c>
      <c r="B48" s="0" t="s">
        <v>185</v>
      </c>
      <c r="C48" s="0" t="n">
        <v>104324</v>
      </c>
    </row>
    <row r="49" customFormat="false" ht="12.75" hidden="false" customHeight="false" outlineLevel="0" collapsed="false">
      <c r="A49" s="0" t="s">
        <v>961</v>
      </c>
      <c r="B49" s="0" t="s">
        <v>185</v>
      </c>
      <c r="C49" s="0" t="n">
        <v>142906</v>
      </c>
    </row>
    <row r="50" customFormat="false" ht="12.75" hidden="false" customHeight="false" outlineLevel="0" collapsed="false">
      <c r="A50" s="0" t="s">
        <v>964</v>
      </c>
      <c r="B50" s="0" t="s">
        <v>188</v>
      </c>
      <c r="C50" s="0" t="n">
        <v>104960</v>
      </c>
    </row>
    <row r="51" customFormat="false" ht="12.75" hidden="false" customHeight="false" outlineLevel="0" collapsed="false">
      <c r="A51" s="0" t="s">
        <v>966</v>
      </c>
      <c r="B51" s="0" t="s">
        <v>188</v>
      </c>
      <c r="C51" s="0" t="n">
        <v>140562</v>
      </c>
    </row>
    <row r="52" customFormat="false" ht="12.75" hidden="false" customHeight="false" outlineLevel="0" collapsed="false">
      <c r="A52" s="0" t="s">
        <v>969</v>
      </c>
      <c r="B52" s="0" t="s">
        <v>191</v>
      </c>
      <c r="C52" s="0" t="n">
        <v>102020</v>
      </c>
    </row>
    <row r="53" customFormat="false" ht="12.75" hidden="false" customHeight="false" outlineLevel="0" collapsed="false">
      <c r="A53" s="0" t="s">
        <v>971</v>
      </c>
      <c r="B53" s="0" t="s">
        <v>191</v>
      </c>
      <c r="C53" s="0" t="n">
        <v>139364</v>
      </c>
    </row>
    <row r="54" customFormat="false" ht="12.75" hidden="false" customHeight="false" outlineLevel="0" collapsed="false">
      <c r="A54" s="0" t="s">
        <v>973</v>
      </c>
      <c r="B54" s="0" t="s">
        <v>191</v>
      </c>
      <c r="C54" s="0" t="n">
        <v>147691</v>
      </c>
    </row>
    <row r="55" customFormat="false" ht="12.75" hidden="false" customHeight="false" outlineLevel="0" collapsed="false">
      <c r="A55" s="0" t="s">
        <v>1606</v>
      </c>
      <c r="B55" s="0" t="s">
        <v>195</v>
      </c>
      <c r="C55" s="0" t="n">
        <v>104236</v>
      </c>
    </row>
    <row r="56" customFormat="false" ht="12.75" hidden="false" customHeight="false" outlineLevel="0" collapsed="false">
      <c r="A56" s="0" t="s">
        <v>975</v>
      </c>
      <c r="B56" s="0" t="s">
        <v>195</v>
      </c>
      <c r="C56" s="0" t="n">
        <v>136660</v>
      </c>
    </row>
    <row r="57" customFormat="false" ht="12.75" hidden="false" customHeight="false" outlineLevel="0" collapsed="false">
      <c r="A57" s="0" t="s">
        <v>979</v>
      </c>
      <c r="B57" s="0" t="s">
        <v>195</v>
      </c>
      <c r="C57" s="0" t="n">
        <v>158823</v>
      </c>
    </row>
    <row r="58" customFormat="false" ht="12.75" hidden="false" customHeight="false" outlineLevel="0" collapsed="false">
      <c r="A58" s="0" t="s">
        <v>981</v>
      </c>
      <c r="B58" s="0" t="s">
        <v>198</v>
      </c>
      <c r="C58" s="0" t="n">
        <v>104850</v>
      </c>
    </row>
    <row r="59" customFormat="false" ht="12.75" hidden="false" customHeight="false" outlineLevel="0" collapsed="false">
      <c r="A59" s="0" t="s">
        <v>1607</v>
      </c>
      <c r="B59" s="0" t="s">
        <v>201</v>
      </c>
      <c r="C59" s="0" t="n">
        <v>104842</v>
      </c>
    </row>
    <row r="60" customFormat="false" ht="12.75" hidden="false" customHeight="false" outlineLevel="0" collapsed="false">
      <c r="A60" s="0" t="s">
        <v>1608</v>
      </c>
      <c r="B60" s="0" t="s">
        <v>203</v>
      </c>
      <c r="C60" s="0" t="n">
        <v>104148</v>
      </c>
    </row>
    <row r="61" customFormat="false" ht="12.75" hidden="false" customHeight="false" outlineLevel="0" collapsed="false">
      <c r="A61" s="0" t="s">
        <v>1609</v>
      </c>
      <c r="B61" s="0" t="s">
        <v>205</v>
      </c>
      <c r="C61" s="0" t="n">
        <v>104818</v>
      </c>
    </row>
    <row r="62" customFormat="false" ht="12.75" hidden="false" customHeight="false" outlineLevel="0" collapsed="false">
      <c r="A62" s="0" t="s">
        <v>983</v>
      </c>
      <c r="B62" s="0" t="s">
        <v>207</v>
      </c>
      <c r="C62" s="0" t="n">
        <v>157591</v>
      </c>
    </row>
    <row r="63" customFormat="false" ht="12.75" hidden="false" customHeight="false" outlineLevel="0" collapsed="false">
      <c r="A63" s="0" t="s">
        <v>986</v>
      </c>
      <c r="B63" s="0" t="s">
        <v>210</v>
      </c>
      <c r="C63" s="0" t="n">
        <v>157605</v>
      </c>
    </row>
    <row r="64" customFormat="false" ht="12.75" hidden="false" customHeight="false" outlineLevel="0" collapsed="false">
      <c r="A64" s="0" t="s">
        <v>992</v>
      </c>
      <c r="B64" s="0" t="s">
        <v>213</v>
      </c>
      <c r="C64" s="0" t="n">
        <v>157617</v>
      </c>
    </row>
    <row r="65" customFormat="false" ht="12.75" hidden="false" customHeight="false" outlineLevel="0" collapsed="false">
      <c r="A65" s="0" t="s">
        <v>995</v>
      </c>
      <c r="B65" s="0" t="s">
        <v>216</v>
      </c>
      <c r="C65" s="0" t="n">
        <v>157559</v>
      </c>
    </row>
    <row r="66" customFormat="false" ht="12.75" hidden="false" customHeight="false" outlineLevel="0" collapsed="false">
      <c r="A66" s="0" t="s">
        <v>999</v>
      </c>
      <c r="B66" s="0" t="s">
        <v>219</v>
      </c>
      <c r="C66" s="0" t="n">
        <v>157615</v>
      </c>
    </row>
    <row r="67" customFormat="false" ht="12.75" hidden="false" customHeight="false" outlineLevel="0" collapsed="false">
      <c r="A67" s="0" t="s">
        <v>1004</v>
      </c>
      <c r="B67" s="0" t="s">
        <v>222</v>
      </c>
      <c r="C67" s="0" t="n">
        <v>157587</v>
      </c>
    </row>
  </sheetData>
  <autoFilter ref="A1:C67">
    <sortState ref="A2:C67">
      <sortCondition ref="A2:A67" customList=""/>
    </sortState>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true" showRowColHeaders="true" showZeros="true" rightToLeft="false" tabSelected="false" showOutlineSymbols="true" defaultGridColor="true" view="normal" topLeftCell="A20" colorId="64" zoomScale="100" zoomScaleNormal="100" zoomScalePageLayoutView="100" workbookViewId="0">
      <selection pane="topLeft" activeCell="A32" activeCellId="0" sqref="A32"/>
    </sheetView>
  </sheetViews>
  <sheetFormatPr defaultColWidth="8.6796875" defaultRowHeight="12.75" zeroHeight="false" outlineLevelRow="0" outlineLevelCol="0"/>
  <cols>
    <col collapsed="false" customWidth="true" hidden="false" outlineLevel="0" max="1" min="1" style="0" width="20.85"/>
    <col collapsed="false" customWidth="true" hidden="false" outlineLevel="0" max="2" min="2" style="0" width="14.86"/>
    <col collapsed="false" customWidth="true" hidden="false" outlineLevel="0" max="3" min="3" style="0" width="28.14"/>
    <col collapsed="false" customWidth="true" hidden="false" outlineLevel="0" max="4" min="4" style="0" width="21.43"/>
    <col collapsed="false" customWidth="true" hidden="false" outlineLevel="0" max="5" min="5" style="0" width="24.71"/>
    <col collapsed="false" customWidth="true" hidden="false" outlineLevel="0" max="6" min="6" style="0" width="27.15"/>
    <col collapsed="false" customWidth="true" hidden="false" outlineLevel="0" max="7" min="7" style="0" width="37.86"/>
  </cols>
  <sheetData>
    <row r="1" customFormat="false" ht="12.75" hidden="false" customHeight="false" outlineLevel="0" collapsed="false">
      <c r="A1" s="13" t="s">
        <v>1610</v>
      </c>
      <c r="B1" s="13" t="s">
        <v>1611</v>
      </c>
      <c r="C1" s="13" t="s">
        <v>1612</v>
      </c>
      <c r="D1" s="13" t="s">
        <v>1613</v>
      </c>
      <c r="E1" s="13" t="s">
        <v>1614</v>
      </c>
      <c r="F1" s="13" t="s">
        <v>1615</v>
      </c>
      <c r="G1" s="6" t="s">
        <v>51</v>
      </c>
    </row>
    <row r="2" customFormat="false" ht="12.75" hidden="false" customHeight="false" outlineLevel="0" collapsed="false">
      <c r="A2" s="13" t="s">
        <v>1616</v>
      </c>
      <c r="B2" s="13" t="n">
        <v>1</v>
      </c>
      <c r="C2" s="13" t="s">
        <v>1617</v>
      </c>
      <c r="D2" s="13" t="s">
        <v>411</v>
      </c>
      <c r="E2" s="13" t="s">
        <v>1206</v>
      </c>
      <c r="F2" s="13" t="s">
        <v>1618</v>
      </c>
      <c r="G2" s="355" t="s">
        <v>1619</v>
      </c>
    </row>
    <row r="3" customFormat="false" ht="12.75" hidden="false" customHeight="false" outlineLevel="0" collapsed="false">
      <c r="A3" s="13" t="s">
        <v>1620</v>
      </c>
      <c r="B3" s="13" t="n">
        <v>2</v>
      </c>
      <c r="C3" s="13" t="s">
        <v>1621</v>
      </c>
      <c r="D3" s="13" t="s">
        <v>415</v>
      </c>
      <c r="E3" s="13" t="s">
        <v>1208</v>
      </c>
      <c r="F3" s="13" t="s">
        <v>1622</v>
      </c>
      <c r="G3" s="355" t="s">
        <v>1619</v>
      </c>
    </row>
    <row r="4" customFormat="false" ht="12.75" hidden="false" customHeight="false" outlineLevel="0" collapsed="false">
      <c r="A4" s="59" t="s">
        <v>1623</v>
      </c>
      <c r="B4" s="59" t="n">
        <v>3</v>
      </c>
      <c r="C4" s="59"/>
      <c r="D4" s="59" t="s">
        <v>417</v>
      </c>
      <c r="E4" s="59" t="s">
        <v>1210</v>
      </c>
      <c r="F4" s="59" t="s">
        <v>1624</v>
      </c>
      <c r="G4" s="59" t="s">
        <v>1625</v>
      </c>
    </row>
    <row r="5" customFormat="false" ht="12.75" hidden="false" customHeight="false" outlineLevel="0" collapsed="false">
      <c r="A5" s="13" t="s">
        <v>1626</v>
      </c>
      <c r="B5" s="13" t="n">
        <v>4</v>
      </c>
      <c r="C5" s="13"/>
      <c r="D5" s="13" t="s">
        <v>419</v>
      </c>
      <c r="E5" s="13" t="s">
        <v>1212</v>
      </c>
      <c r="F5" s="13" t="s">
        <v>1627</v>
      </c>
      <c r="G5" s="355" t="s">
        <v>1619</v>
      </c>
    </row>
    <row r="6" customFormat="false" ht="12.75" hidden="false" customHeight="false" outlineLevel="0" collapsed="false">
      <c r="A6" s="13" t="s">
        <v>1628</v>
      </c>
      <c r="B6" s="13" t="n">
        <v>5</v>
      </c>
      <c r="C6" s="13"/>
      <c r="D6" s="13" t="s">
        <v>421</v>
      </c>
      <c r="E6" s="13" t="s">
        <v>1214</v>
      </c>
      <c r="F6" s="13" t="s">
        <v>1629</v>
      </c>
      <c r="G6" s="355" t="s">
        <v>1619</v>
      </c>
    </row>
    <row r="7" customFormat="false" ht="12.75" hidden="false" customHeight="false" outlineLevel="0" collapsed="false">
      <c r="A7" s="356" t="s">
        <v>1630</v>
      </c>
      <c r="B7" s="356" t="n">
        <v>6</v>
      </c>
      <c r="C7" s="356"/>
      <c r="D7" s="356" t="s">
        <v>423</v>
      </c>
      <c r="E7" s="356" t="s">
        <v>1216</v>
      </c>
      <c r="F7" s="356" t="s">
        <v>1631</v>
      </c>
      <c r="G7" s="356" t="s">
        <v>1632</v>
      </c>
    </row>
    <row r="8" customFormat="false" ht="12.75" hidden="false" customHeight="false" outlineLevel="0" collapsed="false">
      <c r="A8" s="356" t="s">
        <v>1633</v>
      </c>
      <c r="B8" s="356" t="n">
        <v>7</v>
      </c>
      <c r="C8" s="356"/>
      <c r="D8" s="356" t="s">
        <v>425</v>
      </c>
      <c r="E8" s="356" t="s">
        <v>1218</v>
      </c>
      <c r="F8" s="356" t="s">
        <v>1634</v>
      </c>
      <c r="G8" s="356" t="s">
        <v>1632</v>
      </c>
    </row>
    <row r="9" customFormat="false" ht="12.75" hidden="false" customHeight="false" outlineLevel="0" collapsed="false">
      <c r="A9" s="13" t="s">
        <v>1635</v>
      </c>
      <c r="B9" s="13" t="n">
        <v>8</v>
      </c>
      <c r="C9" s="13"/>
      <c r="D9" s="13" t="s">
        <v>427</v>
      </c>
      <c r="E9" s="13" t="s">
        <v>1220</v>
      </c>
      <c r="F9" s="13" t="s">
        <v>1636</v>
      </c>
      <c r="G9" s="355" t="s">
        <v>1619</v>
      </c>
    </row>
    <row r="10" customFormat="false" ht="12.75" hidden="false" customHeight="false" outlineLevel="0" collapsed="false">
      <c r="A10" s="13" t="s">
        <v>1637</v>
      </c>
      <c r="B10" s="13" t="n">
        <v>9</v>
      </c>
      <c r="C10" s="13"/>
      <c r="D10" s="13" t="s">
        <v>430</v>
      </c>
      <c r="E10" s="13" t="s">
        <v>1222</v>
      </c>
      <c r="F10" s="13" t="s">
        <v>1638</v>
      </c>
      <c r="G10" s="355" t="s">
        <v>1619</v>
      </c>
    </row>
    <row r="11" customFormat="false" ht="12.75" hidden="false" customHeight="false" outlineLevel="0" collapsed="false">
      <c r="A11" s="356" t="s">
        <v>1639</v>
      </c>
      <c r="B11" s="356" t="n">
        <v>10</v>
      </c>
      <c r="C11" s="356"/>
      <c r="D11" s="356" t="s">
        <v>432</v>
      </c>
      <c r="E11" s="356" t="s">
        <v>1224</v>
      </c>
      <c r="F11" s="356" t="s">
        <v>1640</v>
      </c>
      <c r="G11" s="356" t="s">
        <v>1632</v>
      </c>
    </row>
    <row r="12" customFormat="false" ht="12.75" hidden="false" customHeight="false" outlineLevel="0" collapsed="false">
      <c r="A12" s="13" t="s">
        <v>1641</v>
      </c>
      <c r="B12" s="13" t="n">
        <v>11</v>
      </c>
      <c r="C12" s="13"/>
      <c r="D12" s="13" t="s">
        <v>434</v>
      </c>
      <c r="E12" s="13" t="s">
        <v>1226</v>
      </c>
      <c r="F12" s="13" t="s">
        <v>1642</v>
      </c>
      <c r="G12" s="355" t="s">
        <v>1619</v>
      </c>
    </row>
    <row r="13" customFormat="false" ht="12.75" hidden="false" customHeight="false" outlineLevel="0" collapsed="false">
      <c r="A13" s="356" t="s">
        <v>1643</v>
      </c>
      <c r="B13" s="356" t="n">
        <v>12</v>
      </c>
      <c r="C13" s="356"/>
      <c r="D13" s="356" t="s">
        <v>436</v>
      </c>
      <c r="E13" s="356" t="s">
        <v>1228</v>
      </c>
      <c r="F13" s="356" t="s">
        <v>1644</v>
      </c>
      <c r="G13" s="356" t="s">
        <v>1632</v>
      </c>
    </row>
    <row r="14" customFormat="false" ht="12.75" hidden="false" customHeight="false" outlineLevel="0" collapsed="false">
      <c r="A14" s="13" t="s">
        <v>1645</v>
      </c>
      <c r="B14" s="13" t="n">
        <v>13</v>
      </c>
      <c r="C14" s="13"/>
      <c r="D14" s="13" t="s">
        <v>438</v>
      </c>
      <c r="E14" s="13" t="s">
        <v>1230</v>
      </c>
      <c r="F14" s="13" t="s">
        <v>1646</v>
      </c>
      <c r="G14" s="355" t="s">
        <v>1619</v>
      </c>
    </row>
    <row r="15" customFormat="false" ht="12.75" hidden="false" customHeight="false" outlineLevel="0" collapsed="false">
      <c r="A15" s="13" t="s">
        <v>1647</v>
      </c>
      <c r="B15" s="13" t="n">
        <v>14</v>
      </c>
      <c r="C15" s="13"/>
      <c r="D15" s="13" t="s">
        <v>440</v>
      </c>
      <c r="E15" s="13" t="s">
        <v>1232</v>
      </c>
      <c r="F15" s="13" t="s">
        <v>1648</v>
      </c>
      <c r="G15" s="355" t="s">
        <v>1619</v>
      </c>
    </row>
    <row r="16" customFormat="false" ht="12.75" hidden="false" customHeight="false" outlineLevel="0" collapsed="false">
      <c r="A16" s="13" t="s">
        <v>1649</v>
      </c>
      <c r="B16" s="13" t="n">
        <v>15</v>
      </c>
      <c r="C16" s="13"/>
      <c r="D16" s="13" t="s">
        <v>442</v>
      </c>
      <c r="E16" s="13" t="s">
        <v>1234</v>
      </c>
      <c r="F16" s="13" t="s">
        <v>1650</v>
      </c>
      <c r="G16" s="355" t="s">
        <v>1619</v>
      </c>
    </row>
    <row r="17" customFormat="false" ht="12.75" hidden="false" customHeight="false" outlineLevel="0" collapsed="false">
      <c r="A17" s="13" t="s">
        <v>1651</v>
      </c>
      <c r="B17" s="13" t="n">
        <v>16</v>
      </c>
      <c r="C17" s="13"/>
      <c r="D17" s="13" t="s">
        <v>444</v>
      </c>
      <c r="E17" s="13" t="s">
        <v>1236</v>
      </c>
      <c r="F17" s="13" t="s">
        <v>1652</v>
      </c>
      <c r="G17" s="355" t="s">
        <v>1619</v>
      </c>
    </row>
    <row r="18" customFormat="false" ht="12.75" hidden="false" customHeight="false" outlineLevel="0" collapsed="false">
      <c r="A18" s="356" t="s">
        <v>1653</v>
      </c>
      <c r="B18" s="356" t="n">
        <v>17</v>
      </c>
      <c r="C18" s="356"/>
      <c r="D18" s="356" t="s">
        <v>446</v>
      </c>
      <c r="E18" s="356" t="s">
        <v>1238</v>
      </c>
      <c r="F18" s="356" t="s">
        <v>1654</v>
      </c>
      <c r="G18" s="356" t="s">
        <v>1655</v>
      </c>
    </row>
    <row r="19" customFormat="false" ht="12.75" hidden="false" customHeight="false" outlineLevel="0" collapsed="false">
      <c r="A19" s="13" t="s">
        <v>1656</v>
      </c>
      <c r="B19" s="13" t="n">
        <v>18</v>
      </c>
      <c r="C19" s="13"/>
      <c r="D19" s="13" t="s">
        <v>448</v>
      </c>
      <c r="E19" s="13" t="s">
        <v>1240</v>
      </c>
      <c r="F19" s="13" t="s">
        <v>1657</v>
      </c>
      <c r="G19" s="355" t="s">
        <v>1619</v>
      </c>
    </row>
    <row r="20" customFormat="false" ht="12.75" hidden="false" customHeight="false" outlineLevel="0" collapsed="false">
      <c r="A20" s="356" t="s">
        <v>1658</v>
      </c>
      <c r="B20" s="356" t="n">
        <v>19</v>
      </c>
      <c r="C20" s="356"/>
      <c r="D20" s="356" t="s">
        <v>450</v>
      </c>
      <c r="E20" s="356" t="s">
        <v>1242</v>
      </c>
      <c r="F20" s="356" t="s">
        <v>1659</v>
      </c>
      <c r="G20" s="356" t="s">
        <v>1632</v>
      </c>
    </row>
    <row r="21" customFormat="false" ht="12.75" hidden="false" customHeight="false" outlineLevel="0" collapsed="false">
      <c r="A21" s="13" t="s">
        <v>1660</v>
      </c>
      <c r="B21" s="13" t="n">
        <v>20</v>
      </c>
      <c r="C21" s="13"/>
      <c r="D21" s="13" t="s">
        <v>452</v>
      </c>
      <c r="E21" s="13" t="s">
        <v>1244</v>
      </c>
      <c r="F21" s="13" t="s">
        <v>1661</v>
      </c>
      <c r="G21" s="355" t="s">
        <v>1619</v>
      </c>
    </row>
    <row r="22" customFormat="false" ht="12.75" hidden="false" customHeight="false" outlineLevel="0" collapsed="false">
      <c r="A22" s="13" t="s">
        <v>1662</v>
      </c>
      <c r="B22" s="13" t="n">
        <v>21</v>
      </c>
      <c r="C22" s="13"/>
      <c r="D22" s="13" t="s">
        <v>454</v>
      </c>
      <c r="E22" s="13" t="s">
        <v>1246</v>
      </c>
      <c r="F22" s="13" t="s">
        <v>1663</v>
      </c>
      <c r="G22" s="355" t="s">
        <v>1619</v>
      </c>
    </row>
    <row r="23" customFormat="false" ht="12.75" hidden="false" customHeight="false" outlineLevel="0" collapsed="false">
      <c r="A23" s="13" t="s">
        <v>1664</v>
      </c>
      <c r="B23" s="13" t="n">
        <v>22</v>
      </c>
      <c r="C23" s="13"/>
      <c r="D23" s="13" t="s">
        <v>456</v>
      </c>
      <c r="E23" s="13" t="s">
        <v>1248</v>
      </c>
      <c r="F23" s="13" t="s">
        <v>1665</v>
      </c>
      <c r="G23" s="355" t="s">
        <v>1619</v>
      </c>
    </row>
    <row r="24" customFormat="false" ht="12.75" hidden="false" customHeight="false" outlineLevel="0" collapsed="false">
      <c r="A24" s="13" t="s">
        <v>1666</v>
      </c>
      <c r="B24" s="13" t="n">
        <v>23</v>
      </c>
      <c r="C24" s="13"/>
      <c r="D24" s="13" t="s">
        <v>458</v>
      </c>
      <c r="E24" s="13" t="s">
        <v>1250</v>
      </c>
      <c r="F24" s="13" t="s">
        <v>1667</v>
      </c>
      <c r="G24" s="355" t="s">
        <v>1619</v>
      </c>
    </row>
    <row r="25" customFormat="false" ht="12.75" hidden="false" customHeight="false" outlineLevel="0" collapsed="false">
      <c r="A25" s="13" t="s">
        <v>1668</v>
      </c>
      <c r="B25" s="13" t="n">
        <v>24</v>
      </c>
      <c r="C25" s="13"/>
      <c r="D25" s="13" t="s">
        <v>1669</v>
      </c>
      <c r="E25" s="13" t="s">
        <v>1670</v>
      </c>
      <c r="F25" s="13" t="s">
        <v>1671</v>
      </c>
      <c r="G25" s="355" t="s">
        <v>1619</v>
      </c>
    </row>
    <row r="26" customFormat="false" ht="12.75" hidden="false" customHeight="false" outlineLevel="0" collapsed="false">
      <c r="A26" s="13" t="s">
        <v>1672</v>
      </c>
      <c r="B26" s="13" t="n">
        <v>25</v>
      </c>
      <c r="C26" s="13"/>
      <c r="D26" s="13" t="s">
        <v>1673</v>
      </c>
      <c r="E26" s="13" t="s">
        <v>1674</v>
      </c>
      <c r="F26" s="13" t="s">
        <v>1675</v>
      </c>
      <c r="G26" s="355" t="s">
        <v>1619</v>
      </c>
    </row>
    <row r="27" customFormat="false" ht="12.75" hidden="false" customHeight="false" outlineLevel="0" collapsed="false">
      <c r="A27" s="13" t="s">
        <v>1676</v>
      </c>
      <c r="B27" s="13" t="n">
        <v>26</v>
      </c>
      <c r="C27" s="13"/>
      <c r="D27" s="13" t="s">
        <v>1677</v>
      </c>
      <c r="E27" s="13" t="s">
        <v>1678</v>
      </c>
      <c r="F27" s="13" t="s">
        <v>1679</v>
      </c>
      <c r="G27" s="355" t="s">
        <v>1619</v>
      </c>
    </row>
    <row r="28" customFormat="false" ht="12.75" hidden="false" customHeight="false" outlineLevel="0" collapsed="false">
      <c r="A28" s="59" t="s">
        <v>1680</v>
      </c>
      <c r="B28" s="59" t="n">
        <v>27</v>
      </c>
      <c r="C28" s="59"/>
      <c r="D28" s="59" t="s">
        <v>1681</v>
      </c>
      <c r="E28" s="59" t="s">
        <v>1682</v>
      </c>
      <c r="F28" s="59" t="s">
        <v>1683</v>
      </c>
      <c r="G28" s="59" t="s">
        <v>1684</v>
      </c>
    </row>
    <row r="29" customFormat="false" ht="12.75" hidden="false" customHeight="false" outlineLevel="0" collapsed="false">
      <c r="A29" s="356" t="s">
        <v>1685</v>
      </c>
      <c r="B29" s="356" t="n">
        <v>28</v>
      </c>
      <c r="C29" s="356"/>
      <c r="D29" s="356" t="s">
        <v>1686</v>
      </c>
      <c r="E29" s="356" t="s">
        <v>1687</v>
      </c>
      <c r="F29" s="356" t="s">
        <v>1688</v>
      </c>
      <c r="G29" s="357" t="s">
        <v>1689</v>
      </c>
    </row>
    <row r="30" customFormat="false" ht="12.75" hidden="false" customHeight="false" outlineLevel="0" collapsed="false">
      <c r="A30" s="356" t="s">
        <v>1690</v>
      </c>
      <c r="B30" s="356" t="n">
        <v>29</v>
      </c>
      <c r="C30" s="356"/>
      <c r="D30" s="356" t="s">
        <v>1691</v>
      </c>
      <c r="E30" s="356" t="s">
        <v>1692</v>
      </c>
      <c r="F30" s="356" t="s">
        <v>1693</v>
      </c>
      <c r="G30" s="356" t="s">
        <v>1655</v>
      </c>
    </row>
    <row r="31" customFormat="false" ht="12.75" hidden="false" customHeight="false" outlineLevel="0" collapsed="false">
      <c r="A31" s="59" t="s">
        <v>1694</v>
      </c>
      <c r="B31" s="59" t="n">
        <v>30</v>
      </c>
      <c r="C31" s="59"/>
      <c r="D31" s="59" t="s">
        <v>1695</v>
      </c>
      <c r="E31" s="59" t="s">
        <v>1696</v>
      </c>
      <c r="F31" s="59" t="s">
        <v>1697</v>
      </c>
      <c r="G31" s="59" t="s">
        <v>1625</v>
      </c>
    </row>
    <row r="32" customFormat="false" ht="12.75" hidden="false" customHeight="false" outlineLevel="0" collapsed="false">
      <c r="A32" s="13" t="s">
        <v>1698</v>
      </c>
      <c r="B32" s="13" t="n">
        <v>31</v>
      </c>
      <c r="C32" s="13"/>
      <c r="D32" s="13" t="s">
        <v>1699</v>
      </c>
      <c r="E32" s="13" t="s">
        <v>1700</v>
      </c>
      <c r="F32" s="13" t="s">
        <v>1701</v>
      </c>
      <c r="G32" s="355" t="s">
        <v>1619</v>
      </c>
    </row>
    <row r="33" customFormat="false" ht="12.75" hidden="false" customHeight="false" outlineLevel="0" collapsed="false">
      <c r="A33" s="59" t="s">
        <v>1702</v>
      </c>
      <c r="B33" s="59" t="n">
        <v>32</v>
      </c>
      <c r="C33" s="59"/>
      <c r="D33" s="59" t="s">
        <v>1703</v>
      </c>
      <c r="E33" s="59" t="s">
        <v>1704</v>
      </c>
      <c r="F33" s="59" t="s">
        <v>1705</v>
      </c>
      <c r="G33" s="59" t="s">
        <v>1706</v>
      </c>
    </row>
    <row r="34" customFormat="false" ht="12.75" hidden="false" customHeight="false" outlineLevel="0" collapsed="false">
      <c r="A34" s="13" t="s">
        <v>1707</v>
      </c>
      <c r="B34" s="13" t="n">
        <v>33</v>
      </c>
      <c r="C34" s="13"/>
      <c r="D34" s="13" t="s">
        <v>1708</v>
      </c>
      <c r="E34" s="13" t="s">
        <v>1709</v>
      </c>
      <c r="F34" s="13" t="s">
        <v>1710</v>
      </c>
      <c r="G34" s="355" t="s">
        <v>1619</v>
      </c>
    </row>
    <row r="35" customFormat="false" ht="12.75" hidden="false" customHeight="false" outlineLevel="0" collapsed="false">
      <c r="A35" s="356" t="s">
        <v>1711</v>
      </c>
      <c r="B35" s="356" t="n">
        <v>34</v>
      </c>
      <c r="C35" s="356"/>
      <c r="D35" s="356" t="s">
        <v>1712</v>
      </c>
      <c r="E35" s="356" t="s">
        <v>1713</v>
      </c>
      <c r="F35" s="356" t="s">
        <v>1714</v>
      </c>
      <c r="G35" s="356" t="s">
        <v>1632</v>
      </c>
    </row>
    <row r="36" customFormat="false" ht="12.75" hidden="false" customHeight="false" outlineLevel="0" collapsed="false">
      <c r="A36" s="59" t="s">
        <v>1715</v>
      </c>
      <c r="B36" s="59" t="n">
        <v>35</v>
      </c>
      <c r="C36" s="59"/>
      <c r="D36" s="59" t="s">
        <v>1716</v>
      </c>
      <c r="E36" s="59" t="s">
        <v>1717</v>
      </c>
      <c r="F36" s="59" t="s">
        <v>1718</v>
      </c>
      <c r="G36" s="59" t="s">
        <v>1719</v>
      </c>
    </row>
    <row r="37" customFormat="false" ht="12.75" hidden="false" customHeight="false" outlineLevel="0" collapsed="false">
      <c r="A37" s="59" t="s">
        <v>1720</v>
      </c>
      <c r="B37" s="59" t="n">
        <v>36</v>
      </c>
      <c r="C37" s="59"/>
      <c r="D37" s="59" t="s">
        <v>1721</v>
      </c>
      <c r="E37" s="59" t="s">
        <v>1722</v>
      </c>
      <c r="F37" s="59" t="s">
        <v>1723</v>
      </c>
      <c r="G37" s="59" t="s">
        <v>1684</v>
      </c>
    </row>
    <row r="38" customFormat="false" ht="12.75" hidden="false" customHeight="false" outlineLevel="0" collapsed="false">
      <c r="A38" s="59" t="s">
        <v>1724</v>
      </c>
      <c r="B38" s="59" t="n">
        <v>37</v>
      </c>
      <c r="C38" s="59"/>
      <c r="D38" s="59" t="s">
        <v>1725</v>
      </c>
      <c r="E38" s="59" t="s">
        <v>1726</v>
      </c>
      <c r="F38" s="59" t="s">
        <v>1727</v>
      </c>
      <c r="G38" s="59" t="s">
        <v>1684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true" showRowColHeaders="true" showZeros="true" rightToLeft="false" tabSelected="false" showOutlineSymbols="true" defaultGridColor="true" view="normal" topLeftCell="A18" colorId="64" zoomScale="100" zoomScaleNormal="100" zoomScalePageLayoutView="100" workbookViewId="0">
      <selection pane="topLeft" activeCell="D35" activeCellId="0" sqref="D35"/>
    </sheetView>
  </sheetViews>
  <sheetFormatPr defaultColWidth="8.6796875" defaultRowHeight="12.75" zeroHeight="false" outlineLevelRow="0" outlineLevelCol="0"/>
  <cols>
    <col collapsed="false" customWidth="true" hidden="false" outlineLevel="0" max="1" min="1" style="0" width="16.85"/>
    <col collapsed="false" customWidth="true" hidden="false" outlineLevel="0" max="3" min="3" style="0" width="23.42"/>
    <col collapsed="false" customWidth="true" hidden="false" outlineLevel="0" max="4" min="4" style="0" width="29.86"/>
    <col collapsed="false" customWidth="true" hidden="true" outlineLevel="0" max="5" min="5" style="0" width="28.71"/>
    <col collapsed="false" customWidth="true" hidden="true" outlineLevel="0" max="6" min="6" style="0" width="35.85"/>
    <col collapsed="false" customWidth="true" hidden="false" outlineLevel="0" max="7" min="7" style="0" width="40"/>
  </cols>
  <sheetData>
    <row r="1" customFormat="false" ht="12.75" hidden="false" customHeight="false" outlineLevel="0" collapsed="false">
      <c r="A1" s="13" t="s">
        <v>1610</v>
      </c>
      <c r="B1" s="13" t="s">
        <v>1611</v>
      </c>
      <c r="C1" s="13" t="s">
        <v>1612</v>
      </c>
      <c r="D1" s="13" t="s">
        <v>1613</v>
      </c>
      <c r="E1" s="13" t="s">
        <v>1614</v>
      </c>
      <c r="F1" s="13" t="s">
        <v>1615</v>
      </c>
      <c r="G1" s="13" t="s">
        <v>51</v>
      </c>
    </row>
    <row r="2" customFormat="false" ht="12.75" hidden="false" customHeight="false" outlineLevel="0" collapsed="false">
      <c r="A2" s="13" t="s">
        <v>1616</v>
      </c>
      <c r="B2" s="13" t="n">
        <v>1</v>
      </c>
      <c r="C2" s="13" t="s">
        <v>412</v>
      </c>
      <c r="D2" s="13" t="s">
        <v>411</v>
      </c>
      <c r="E2" s="13" t="s">
        <v>1206</v>
      </c>
      <c r="F2" s="13" t="s">
        <v>1618</v>
      </c>
      <c r="G2" s="355" t="s">
        <v>1619</v>
      </c>
    </row>
    <row r="3" customFormat="false" ht="12.75" hidden="false" customHeight="false" outlineLevel="0" collapsed="false">
      <c r="A3" s="13" t="s">
        <v>1620</v>
      </c>
      <c r="B3" s="13" t="n">
        <v>2</v>
      </c>
      <c r="C3" s="13" t="s">
        <v>416</v>
      </c>
      <c r="D3" s="13" t="s">
        <v>415</v>
      </c>
      <c r="E3" s="13" t="s">
        <v>1208</v>
      </c>
      <c r="F3" s="13" t="s">
        <v>1622</v>
      </c>
      <c r="G3" s="355" t="s">
        <v>1619</v>
      </c>
    </row>
    <row r="4" customFormat="false" ht="12.75" hidden="false" customHeight="false" outlineLevel="0" collapsed="false">
      <c r="A4" s="13" t="s">
        <v>1707</v>
      </c>
      <c r="B4" s="13" t="n">
        <v>3</v>
      </c>
      <c r="C4" s="13" t="s">
        <v>418</v>
      </c>
      <c r="D4" s="13" t="s">
        <v>417</v>
      </c>
      <c r="E4" s="13"/>
      <c r="F4" s="13"/>
      <c r="G4" s="355" t="s">
        <v>1619</v>
      </c>
    </row>
    <row r="5" customFormat="false" ht="12.75" hidden="false" customHeight="false" outlineLevel="0" collapsed="false">
      <c r="A5" s="13" t="s">
        <v>1637</v>
      </c>
      <c r="B5" s="13" t="n">
        <v>4</v>
      </c>
      <c r="C5" s="13" t="s">
        <v>420</v>
      </c>
      <c r="D5" s="13" t="s">
        <v>419</v>
      </c>
      <c r="E5" s="13"/>
      <c r="F5" s="13"/>
      <c r="G5" s="355" t="s">
        <v>1619</v>
      </c>
    </row>
    <row r="6" customFormat="false" ht="12.75" hidden="false" customHeight="false" outlineLevel="0" collapsed="false">
      <c r="A6" s="13" t="s">
        <v>1645</v>
      </c>
      <c r="B6" s="13" t="n">
        <v>5</v>
      </c>
      <c r="C6" s="13" t="s">
        <v>422</v>
      </c>
      <c r="D6" s="13" t="s">
        <v>421</v>
      </c>
      <c r="E6" s="13"/>
      <c r="F6" s="13"/>
      <c r="G6" s="355" t="s">
        <v>1619</v>
      </c>
    </row>
    <row r="7" customFormat="false" ht="12.75" hidden="false" customHeight="false" outlineLevel="0" collapsed="false">
      <c r="A7" s="13" t="s">
        <v>1641</v>
      </c>
      <c r="B7" s="13" t="n">
        <v>6</v>
      </c>
      <c r="C7" s="13" t="s">
        <v>424</v>
      </c>
      <c r="D7" s="13" t="s">
        <v>423</v>
      </c>
      <c r="E7" s="13"/>
      <c r="F7" s="13"/>
      <c r="G7" s="355" t="s">
        <v>1619</v>
      </c>
    </row>
    <row r="8" customFormat="false" ht="12.75" hidden="false" customHeight="false" outlineLevel="0" collapsed="false">
      <c r="A8" s="13" t="s">
        <v>1635</v>
      </c>
      <c r="B8" s="13" t="n">
        <v>7</v>
      </c>
      <c r="C8" s="13" t="s">
        <v>426</v>
      </c>
      <c r="D8" s="13" t="s">
        <v>425</v>
      </c>
      <c r="E8" s="13"/>
      <c r="F8" s="13"/>
      <c r="G8" s="355" t="s">
        <v>1619</v>
      </c>
    </row>
    <row r="9" customFormat="false" ht="12.75" hidden="false" customHeight="false" outlineLevel="0" collapsed="false">
      <c r="A9" s="13" t="s">
        <v>1653</v>
      </c>
      <c r="B9" s="13" t="n">
        <v>8</v>
      </c>
      <c r="C9" s="13" t="s">
        <v>428</v>
      </c>
      <c r="D9" s="13" t="s">
        <v>427</v>
      </c>
      <c r="E9" s="13"/>
      <c r="F9" s="13"/>
      <c r="G9" s="356" t="s">
        <v>1728</v>
      </c>
    </row>
    <row r="10" customFormat="false" ht="12.75" hidden="false" customHeight="false" outlineLevel="0" collapsed="false">
      <c r="A10" s="13" t="s">
        <v>1666</v>
      </c>
      <c r="B10" s="13" t="n">
        <v>9</v>
      </c>
      <c r="C10" s="13" t="s">
        <v>431</v>
      </c>
      <c r="D10" s="13" t="s">
        <v>430</v>
      </c>
      <c r="E10" s="13"/>
      <c r="F10" s="13"/>
      <c r="G10" s="355" t="s">
        <v>1619</v>
      </c>
    </row>
    <row r="11" customFormat="false" ht="12.75" hidden="false" customHeight="false" outlineLevel="0" collapsed="false">
      <c r="A11" s="13" t="s">
        <v>1662</v>
      </c>
      <c r="B11" s="13" t="n">
        <v>10</v>
      </c>
      <c r="C11" s="13" t="s">
        <v>433</v>
      </c>
      <c r="D11" s="13" t="s">
        <v>432</v>
      </c>
      <c r="E11" s="13"/>
      <c r="F11" s="13"/>
      <c r="G11" s="355" t="s">
        <v>1619</v>
      </c>
    </row>
    <row r="12" customFormat="false" ht="12.75" hidden="false" customHeight="false" outlineLevel="0" collapsed="false">
      <c r="A12" s="13" t="s">
        <v>1664</v>
      </c>
      <c r="B12" s="13" t="n">
        <v>11</v>
      </c>
      <c r="C12" s="13" t="s">
        <v>435</v>
      </c>
      <c r="D12" s="13" t="s">
        <v>434</v>
      </c>
      <c r="E12" s="13"/>
      <c r="F12" s="13"/>
      <c r="G12" s="355" t="s">
        <v>1619</v>
      </c>
    </row>
    <row r="13" customFormat="false" ht="12.75" hidden="false" customHeight="false" outlineLevel="0" collapsed="false">
      <c r="A13" s="13" t="s">
        <v>1676</v>
      </c>
      <c r="B13" s="13" t="n">
        <v>12</v>
      </c>
      <c r="C13" s="13" t="s">
        <v>437</v>
      </c>
      <c r="D13" s="13" t="s">
        <v>436</v>
      </c>
      <c r="E13" s="13"/>
      <c r="F13" s="13"/>
      <c r="G13" s="355" t="s">
        <v>1619</v>
      </c>
    </row>
    <row r="14" customFormat="false" ht="12.75" hidden="false" customHeight="false" outlineLevel="0" collapsed="false">
      <c r="A14" s="13" t="s">
        <v>1649</v>
      </c>
      <c r="B14" s="13" t="n">
        <v>13</v>
      </c>
      <c r="C14" s="13" t="s">
        <v>439</v>
      </c>
      <c r="D14" s="13" t="s">
        <v>438</v>
      </c>
      <c r="E14" s="13"/>
      <c r="F14" s="13"/>
      <c r="G14" s="355" t="s">
        <v>1619</v>
      </c>
    </row>
    <row r="15" customFormat="false" ht="12.75" hidden="false" customHeight="false" outlineLevel="0" collapsed="false">
      <c r="A15" s="13" t="s">
        <v>1672</v>
      </c>
      <c r="B15" s="13" t="n">
        <v>14</v>
      </c>
      <c r="C15" s="13" t="s">
        <v>441</v>
      </c>
      <c r="D15" s="13" t="s">
        <v>440</v>
      </c>
      <c r="E15" s="13"/>
      <c r="F15" s="13"/>
      <c r="G15" s="355" t="s">
        <v>1619</v>
      </c>
    </row>
    <row r="16" customFormat="false" ht="12.75" hidden="false" customHeight="false" outlineLevel="0" collapsed="false">
      <c r="A16" s="13" t="s">
        <v>1620</v>
      </c>
      <c r="B16" s="13" t="n">
        <v>15</v>
      </c>
      <c r="C16" s="13" t="s">
        <v>443</v>
      </c>
      <c r="D16" s="13" t="s">
        <v>442</v>
      </c>
      <c r="E16" s="13"/>
      <c r="F16" s="13"/>
      <c r="G16" s="355" t="s">
        <v>1619</v>
      </c>
    </row>
    <row r="17" customFormat="false" ht="12.75" hidden="false" customHeight="false" outlineLevel="0" collapsed="false">
      <c r="A17" s="13" t="s">
        <v>1626</v>
      </c>
      <c r="B17" s="13" t="n">
        <v>16</v>
      </c>
      <c r="C17" s="13" t="s">
        <v>445</v>
      </c>
      <c r="D17" s="13" t="s">
        <v>444</v>
      </c>
      <c r="E17" s="13"/>
      <c r="F17" s="13"/>
      <c r="G17" s="355" t="s">
        <v>1619</v>
      </c>
    </row>
    <row r="18" customFormat="false" ht="12.75" hidden="false" customHeight="false" outlineLevel="0" collapsed="false">
      <c r="A18" s="13" t="s">
        <v>1690</v>
      </c>
      <c r="B18" s="13" t="n">
        <v>17</v>
      </c>
      <c r="C18" s="13" t="s">
        <v>447</v>
      </c>
      <c r="D18" s="13" t="s">
        <v>446</v>
      </c>
      <c r="E18" s="13"/>
      <c r="F18" s="13"/>
      <c r="G18" s="356" t="s">
        <v>1728</v>
      </c>
    </row>
    <row r="19" customFormat="false" ht="12.75" hidden="false" customHeight="false" outlineLevel="0" collapsed="false">
      <c r="A19" s="13" t="s">
        <v>1628</v>
      </c>
      <c r="B19" s="13" t="n">
        <v>18</v>
      </c>
      <c r="C19" s="13" t="s">
        <v>449</v>
      </c>
      <c r="D19" s="13" t="s">
        <v>448</v>
      </c>
      <c r="E19" s="13"/>
      <c r="F19" s="13"/>
      <c r="G19" s="355" t="s">
        <v>1619</v>
      </c>
    </row>
    <row r="20" customFormat="false" ht="12.75" hidden="false" customHeight="false" outlineLevel="0" collapsed="false">
      <c r="A20" s="13" t="s">
        <v>1651</v>
      </c>
      <c r="B20" s="13" t="n">
        <v>19</v>
      </c>
      <c r="C20" s="13" t="s">
        <v>451</v>
      </c>
      <c r="D20" s="13" t="s">
        <v>450</v>
      </c>
      <c r="E20" s="13"/>
      <c r="F20" s="13"/>
      <c r="G20" s="355" t="s">
        <v>1619</v>
      </c>
    </row>
    <row r="21" customFormat="false" ht="12.75" hidden="false" customHeight="false" outlineLevel="0" collapsed="false">
      <c r="A21" s="13" t="s">
        <v>1668</v>
      </c>
      <c r="B21" s="13" t="n">
        <v>20</v>
      </c>
      <c r="C21" s="13" t="s">
        <v>453</v>
      </c>
      <c r="D21" s="13" t="s">
        <v>452</v>
      </c>
      <c r="E21" s="13"/>
      <c r="F21" s="13"/>
      <c r="G21" s="355" t="s">
        <v>1619</v>
      </c>
    </row>
    <row r="22" customFormat="false" ht="12.75" hidden="false" customHeight="false" outlineLevel="0" collapsed="false">
      <c r="A22" s="13" t="s">
        <v>1647</v>
      </c>
      <c r="B22" s="13" t="n">
        <v>21</v>
      </c>
      <c r="C22" s="13" t="s">
        <v>455</v>
      </c>
      <c r="D22" s="13" t="s">
        <v>454</v>
      </c>
      <c r="E22" s="13"/>
      <c r="F22" s="13"/>
      <c r="G22" s="355" t="s">
        <v>1619</v>
      </c>
    </row>
    <row r="23" customFormat="false" ht="12.75" hidden="false" customHeight="false" outlineLevel="0" collapsed="false">
      <c r="A23" s="47" t="s">
        <v>1656</v>
      </c>
      <c r="B23" s="47" t="n">
        <v>22</v>
      </c>
      <c r="C23" s="47" t="s">
        <v>457</v>
      </c>
      <c r="D23" s="47" t="s">
        <v>456</v>
      </c>
      <c r="E23" s="47"/>
      <c r="F23" s="47"/>
      <c r="G23" s="358" t="s">
        <v>1619</v>
      </c>
    </row>
    <row r="24" customFormat="false" ht="12.75" hidden="false" customHeight="false" outlineLevel="0" collapsed="false">
      <c r="A24" s="13" t="s">
        <v>1698</v>
      </c>
      <c r="B24" s="13" t="n">
        <v>23</v>
      </c>
      <c r="C24" s="13" t="s">
        <v>459</v>
      </c>
      <c r="D24" s="13" t="s">
        <v>458</v>
      </c>
      <c r="E24" s="13"/>
      <c r="F24" s="13"/>
      <c r="G24" s="355" t="s">
        <v>1619</v>
      </c>
    </row>
    <row r="25" customFormat="false" ht="12.75" hidden="false" customHeight="false" outlineLevel="0" collapsed="false">
      <c r="A25" s="13" t="s">
        <v>1633</v>
      </c>
      <c r="B25" s="13" t="n">
        <v>24</v>
      </c>
      <c r="C25" s="13" t="s">
        <v>1729</v>
      </c>
      <c r="D25" s="13" t="s">
        <v>1331</v>
      </c>
      <c r="E25" s="13"/>
      <c r="F25" s="13"/>
      <c r="G25" s="59" t="s">
        <v>1730</v>
      </c>
    </row>
    <row r="26" customFormat="false" ht="12.75" hidden="false" customHeight="false" outlineLevel="0" collapsed="false">
      <c r="A26" s="13" t="s">
        <v>1658</v>
      </c>
      <c r="B26" s="13" t="n">
        <v>25</v>
      </c>
      <c r="C26" s="13" t="s">
        <v>1731</v>
      </c>
      <c r="D26" s="13" t="s">
        <v>1331</v>
      </c>
      <c r="E26" s="13"/>
      <c r="F26" s="13"/>
      <c r="G26" s="59" t="s">
        <v>1730</v>
      </c>
    </row>
    <row r="27" customFormat="false" ht="12.75" hidden="false" customHeight="false" outlineLevel="0" collapsed="false">
      <c r="A27" s="13" t="s">
        <v>1643</v>
      </c>
      <c r="B27" s="13" t="n">
        <v>26</v>
      </c>
      <c r="C27" s="13" t="s">
        <v>1732</v>
      </c>
      <c r="D27" s="13" t="s">
        <v>1331</v>
      </c>
      <c r="E27" s="13"/>
      <c r="F27" s="13"/>
      <c r="G27" s="59" t="s">
        <v>1733</v>
      </c>
    </row>
    <row r="28" customFormat="false" ht="12.75" hidden="false" customHeight="false" outlineLevel="0" collapsed="false">
      <c r="A28" s="13" t="s">
        <v>1639</v>
      </c>
      <c r="B28" s="13" t="n">
        <v>27</v>
      </c>
      <c r="C28" s="13" t="s">
        <v>1734</v>
      </c>
      <c r="D28" s="13" t="s">
        <v>1331</v>
      </c>
      <c r="E28" s="13"/>
      <c r="F28" s="13"/>
      <c r="G28" s="59" t="s">
        <v>1730</v>
      </c>
    </row>
    <row r="29" customFormat="false" ht="12.75" hidden="false" customHeight="false" outlineLevel="0" collapsed="false">
      <c r="A29" s="13" t="s">
        <v>1685</v>
      </c>
      <c r="B29" s="13" t="n">
        <v>28</v>
      </c>
      <c r="C29" s="13" t="s">
        <v>1735</v>
      </c>
      <c r="D29" s="13" t="s">
        <v>1331</v>
      </c>
      <c r="E29" s="13"/>
      <c r="F29" s="13"/>
      <c r="G29" s="59" t="s">
        <v>1736</v>
      </c>
    </row>
    <row r="30" customFormat="false" ht="12.75" hidden="false" customHeight="false" outlineLevel="0" collapsed="false">
      <c r="A30" s="47" t="s">
        <v>1630</v>
      </c>
      <c r="B30" s="47" t="n">
        <v>29</v>
      </c>
      <c r="C30" s="47" t="s">
        <v>1737</v>
      </c>
      <c r="D30" s="47" t="s">
        <v>1331</v>
      </c>
      <c r="E30" s="47"/>
      <c r="F30" s="47"/>
      <c r="G30" s="59" t="s">
        <v>1730</v>
      </c>
    </row>
    <row r="31" customFormat="false" ht="12.75" hidden="false" customHeight="false" outlineLevel="0" collapsed="false">
      <c r="A31" s="13" t="s">
        <v>1711</v>
      </c>
      <c r="B31" s="13" t="n">
        <v>30</v>
      </c>
      <c r="C31" s="13" t="s">
        <v>1738</v>
      </c>
      <c r="D31" s="13" t="s">
        <v>1331</v>
      </c>
      <c r="E31" s="13"/>
      <c r="F31" s="13"/>
      <c r="G31" s="59" t="s">
        <v>1730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5" activeCellId="0" sqref="E15"/>
    </sheetView>
  </sheetViews>
  <sheetFormatPr defaultColWidth="8.6796875" defaultRowHeight="12.75" zeroHeight="false" outlineLevelRow="0" outlineLevelCol="0"/>
  <cols>
    <col collapsed="false" customWidth="true" hidden="false" outlineLevel="0" max="1" min="1" style="0" width="11.29"/>
    <col collapsed="false" customWidth="true" hidden="false" outlineLevel="0" max="2" min="2" style="0" width="17.86"/>
    <col collapsed="false" customWidth="true" hidden="false" outlineLevel="0" max="4" min="4" style="0" width="9.57"/>
    <col collapsed="false" customWidth="true" hidden="false" outlineLevel="0" max="5" min="5" style="0" width="26.15"/>
    <col collapsed="false" customWidth="true" hidden="false" outlineLevel="0" max="6" min="6" style="0" width="9.14"/>
    <col collapsed="false" customWidth="true" hidden="false" outlineLevel="0" max="7" min="7" style="0" width="22"/>
    <col collapsed="false" customWidth="true" hidden="false" outlineLevel="0" max="8" min="8" style="0" width="14.29"/>
    <col collapsed="false" customWidth="true" hidden="false" outlineLevel="0" max="9" min="9" style="0" width="34.57"/>
    <col collapsed="false" customWidth="true" hidden="false" outlineLevel="0" max="10" min="10" style="0" width="12"/>
    <col collapsed="false" customWidth="true" hidden="false" outlineLevel="0" max="11" min="11" style="0" width="12.71"/>
    <col collapsed="false" customWidth="true" hidden="false" outlineLevel="0" max="12" min="12" style="0" width="11.85"/>
    <col collapsed="false" customWidth="true" hidden="false" outlineLevel="0" max="13" min="13" style="0" width="15.71"/>
    <col collapsed="false" customWidth="true" hidden="false" outlineLevel="0" max="14" min="14" style="0" width="37"/>
    <col collapsed="false" customWidth="true" hidden="false" outlineLevel="0" max="15" min="15" style="0" width="19.14"/>
    <col collapsed="false" customWidth="true" hidden="false" outlineLevel="0" max="16" min="16" style="0" width="7.29"/>
    <col collapsed="false" customWidth="true" hidden="false" outlineLevel="0" max="17" min="17" style="0" width="39.29"/>
  </cols>
  <sheetData>
    <row r="1" customFormat="false" ht="12.75" hidden="false" customHeight="false" outlineLevel="0" collapsed="false">
      <c r="A1" s="0" t="s">
        <v>1610</v>
      </c>
      <c r="B1" s="0" t="s">
        <v>1612</v>
      </c>
      <c r="C1" s="0" t="s">
        <v>1611</v>
      </c>
      <c r="D1" s="0" t="s">
        <v>1739</v>
      </c>
      <c r="E1" s="0" t="s">
        <v>1740</v>
      </c>
      <c r="F1" s="0" t="s">
        <v>1741</v>
      </c>
      <c r="G1" s="0" t="s">
        <v>1742</v>
      </c>
      <c r="H1" s="0" t="s">
        <v>1743</v>
      </c>
      <c r="I1" s="0" t="s">
        <v>462</v>
      </c>
      <c r="J1" s="0" t="s">
        <v>1744</v>
      </c>
      <c r="L1" s="0" t="s">
        <v>1745</v>
      </c>
      <c r="M1" s="0" t="s">
        <v>1746</v>
      </c>
      <c r="N1" s="0" t="s">
        <v>1747</v>
      </c>
      <c r="O1" s="0" t="s">
        <v>1748</v>
      </c>
      <c r="P1" s="0" t="s">
        <v>1749</v>
      </c>
      <c r="Q1" s="0" t="s">
        <v>1750</v>
      </c>
    </row>
    <row r="2" customFormat="false" ht="12.75" hidden="false" customHeight="false" outlineLevel="0" collapsed="false">
      <c r="J2" s="0" t="s">
        <v>1392</v>
      </c>
      <c r="K2" s="0" t="s">
        <v>1392</v>
      </c>
    </row>
    <row r="3" customFormat="false" ht="12.75" hidden="false" customHeight="false" outlineLevel="0" collapsed="false">
      <c r="A3" s="0" t="s">
        <v>1616</v>
      </c>
      <c r="B3" s="13" t="s">
        <v>1617</v>
      </c>
      <c r="C3" s="13" t="n">
        <v>1</v>
      </c>
      <c r="D3" s="13" t="s">
        <v>1751</v>
      </c>
      <c r="E3" s="13" t="s">
        <v>1752</v>
      </c>
      <c r="F3" s="13"/>
      <c r="G3" s="13"/>
      <c r="H3" s="13" t="s">
        <v>519</v>
      </c>
      <c r="I3" s="13" t="s">
        <v>1753</v>
      </c>
      <c r="J3" s="13" t="n">
        <v>40.019392</v>
      </c>
      <c r="K3" s="13" t="n">
        <v>-83.0609493599946</v>
      </c>
      <c r="L3" s="13" t="n">
        <v>44517</v>
      </c>
      <c r="M3" s="13" t="s">
        <v>1754</v>
      </c>
      <c r="N3" s="355" t="s">
        <v>1755</v>
      </c>
      <c r="O3" s="355" t="s">
        <v>1756</v>
      </c>
      <c r="P3" s="355" t="n">
        <v>2</v>
      </c>
      <c r="Q3" s="355" t="s">
        <v>1619</v>
      </c>
    </row>
    <row r="4" customFormat="false" ht="12.75" hidden="false" customHeight="false" outlineLevel="0" collapsed="false">
      <c r="A4" s="0" t="s">
        <v>1620</v>
      </c>
      <c r="B4" s="13" t="s">
        <v>1757</v>
      </c>
      <c r="C4" s="13" t="n">
        <v>2</v>
      </c>
      <c r="D4" s="13" t="s">
        <v>1751</v>
      </c>
      <c r="E4" s="13" t="s">
        <v>1758</v>
      </c>
      <c r="F4" s="13" t="s">
        <v>1759</v>
      </c>
      <c r="G4" s="13" t="s">
        <v>1760</v>
      </c>
      <c r="H4" s="13" t="s">
        <v>519</v>
      </c>
      <c r="I4" s="13" t="s">
        <v>1761</v>
      </c>
      <c r="J4" s="13" t="n">
        <v>39.961486</v>
      </c>
      <c r="K4" s="13" t="n">
        <v>-82.980234</v>
      </c>
      <c r="L4" s="13" t="n">
        <v>44468</v>
      </c>
      <c r="M4" s="13" t="s">
        <v>226</v>
      </c>
      <c r="N4" s="355" t="s">
        <v>1762</v>
      </c>
      <c r="O4" s="355" t="s">
        <v>1756</v>
      </c>
      <c r="P4" s="355" t="n">
        <v>1</v>
      </c>
      <c r="Q4" s="355" t="s">
        <v>1619</v>
      </c>
    </row>
    <row r="5" customFormat="false" ht="12.75" hidden="false" customHeight="false" outlineLevel="0" collapsed="false">
      <c r="A5" s="0" t="s">
        <v>1623</v>
      </c>
      <c r="B5" s="13" t="s">
        <v>1763</v>
      </c>
      <c r="C5" s="13" t="n">
        <v>3</v>
      </c>
      <c r="D5" s="13" t="s">
        <v>1764</v>
      </c>
      <c r="E5" s="13" t="s">
        <v>1765</v>
      </c>
      <c r="F5" s="13" t="s">
        <v>1766</v>
      </c>
      <c r="G5" s="13" t="s">
        <v>1767</v>
      </c>
      <c r="H5" s="13" t="s">
        <v>482</v>
      </c>
      <c r="I5" s="13" t="s">
        <v>1768</v>
      </c>
      <c r="J5" s="13" t="n">
        <v>39.990628</v>
      </c>
      <c r="K5" s="13" t="n">
        <v>-83.001457</v>
      </c>
      <c r="L5" s="13" t="n">
        <v>44397</v>
      </c>
      <c r="M5" s="13"/>
      <c r="N5" s="59" t="s">
        <v>1625</v>
      </c>
      <c r="O5" s="59"/>
      <c r="P5" s="59"/>
      <c r="Q5" s="59"/>
    </row>
    <row r="6" customFormat="false" ht="12.75" hidden="false" customHeight="false" outlineLevel="0" collapsed="false">
      <c r="A6" s="0" t="s">
        <v>1626</v>
      </c>
      <c r="B6" s="13" t="s">
        <v>1769</v>
      </c>
      <c r="C6" s="13" t="n">
        <v>4</v>
      </c>
      <c r="D6" s="13" t="s">
        <v>1764</v>
      </c>
      <c r="E6" s="13" t="s">
        <v>1770</v>
      </c>
      <c r="F6" s="13"/>
      <c r="G6" s="13"/>
      <c r="H6" s="13"/>
      <c r="I6" s="13"/>
      <c r="J6" s="13"/>
      <c r="K6" s="13"/>
      <c r="L6" s="13"/>
      <c r="M6" s="13"/>
      <c r="N6" s="355" t="s">
        <v>1770</v>
      </c>
      <c r="O6" s="355" t="s">
        <v>1756</v>
      </c>
      <c r="P6" s="355" t="n">
        <v>1</v>
      </c>
      <c r="Q6" s="355" t="s">
        <v>1619</v>
      </c>
    </row>
    <row r="7" customFormat="false" ht="12.75" hidden="false" customHeight="false" outlineLevel="0" collapsed="false">
      <c r="A7" s="0" t="s">
        <v>1628</v>
      </c>
      <c r="B7" s="13" t="s">
        <v>1771</v>
      </c>
      <c r="C7" s="13" t="n">
        <v>5</v>
      </c>
      <c r="D7" s="13" t="s">
        <v>1751</v>
      </c>
      <c r="E7" s="13" t="s">
        <v>1772</v>
      </c>
      <c r="F7" s="13" t="s">
        <v>1773</v>
      </c>
      <c r="G7" s="13" t="s">
        <v>1760</v>
      </c>
      <c r="H7" s="13" t="s">
        <v>482</v>
      </c>
      <c r="I7" s="13" t="s">
        <v>1774</v>
      </c>
      <c r="J7" s="13" t="n">
        <v>40.019967</v>
      </c>
      <c r="K7" s="13" t="n">
        <v>-83.001598</v>
      </c>
      <c r="L7" s="13" t="n">
        <v>44466</v>
      </c>
      <c r="M7" s="13" t="n">
        <v>44713</v>
      </c>
      <c r="N7" s="355" t="s">
        <v>1762</v>
      </c>
      <c r="O7" s="355" t="s">
        <v>1756</v>
      </c>
      <c r="P7" s="355" t="n">
        <v>1</v>
      </c>
      <c r="Q7" s="355" t="s">
        <v>1619</v>
      </c>
    </row>
    <row r="8" customFormat="false" ht="12.75" hidden="false" customHeight="false" outlineLevel="0" collapsed="false">
      <c r="A8" s="0" t="s">
        <v>1630</v>
      </c>
      <c r="B8" s="13" t="s">
        <v>1775</v>
      </c>
      <c r="C8" s="13" t="n">
        <v>6</v>
      </c>
      <c r="D8" s="13" t="s">
        <v>1751</v>
      </c>
      <c r="E8" s="13" t="s">
        <v>1776</v>
      </c>
      <c r="F8" s="13" t="s">
        <v>1777</v>
      </c>
      <c r="G8" s="13" t="s">
        <v>1778</v>
      </c>
      <c r="H8" s="13" t="s">
        <v>482</v>
      </c>
      <c r="I8" s="13" t="s">
        <v>1779</v>
      </c>
      <c r="J8" s="13" t="n">
        <v>40.040999</v>
      </c>
      <c r="K8" s="13" t="n">
        <v>-83.018236</v>
      </c>
      <c r="L8" s="13" t="n">
        <v>44467</v>
      </c>
      <c r="M8" s="13" t="n">
        <v>45240</v>
      </c>
      <c r="N8" s="356" t="s">
        <v>1780</v>
      </c>
      <c r="O8" s="356" t="s">
        <v>1756</v>
      </c>
      <c r="P8" s="356" t="n">
        <v>2</v>
      </c>
      <c r="Q8" s="356" t="s">
        <v>1632</v>
      </c>
    </row>
    <row r="9" customFormat="false" ht="12.75" hidden="false" customHeight="false" outlineLevel="0" collapsed="false">
      <c r="A9" s="0" t="s">
        <v>1633</v>
      </c>
      <c r="B9" s="13" t="s">
        <v>1781</v>
      </c>
      <c r="C9" s="13" t="n">
        <v>7</v>
      </c>
      <c r="D9" s="13" t="s">
        <v>1751</v>
      </c>
      <c r="E9" s="13" t="s">
        <v>1782</v>
      </c>
      <c r="F9" s="13" t="s">
        <v>1783</v>
      </c>
      <c r="G9" s="13" t="s">
        <v>1784</v>
      </c>
      <c r="H9" s="13" t="s">
        <v>482</v>
      </c>
      <c r="I9" s="13" t="s">
        <v>1785</v>
      </c>
      <c r="J9" s="13" t="n">
        <v>40.017878</v>
      </c>
      <c r="K9" s="13" t="n">
        <v>-83.003916</v>
      </c>
      <c r="L9" s="13" t="n">
        <v>44389</v>
      </c>
      <c r="M9" s="13" t="n">
        <v>45240</v>
      </c>
      <c r="N9" s="356" t="s">
        <v>1780</v>
      </c>
      <c r="O9" s="356" t="s">
        <v>1756</v>
      </c>
      <c r="P9" s="356" t="n">
        <v>2</v>
      </c>
      <c r="Q9" s="356" t="s">
        <v>1632</v>
      </c>
    </row>
    <row r="10" customFormat="false" ht="12.75" hidden="false" customHeight="false" outlineLevel="0" collapsed="false">
      <c r="A10" s="0" t="s">
        <v>1635</v>
      </c>
      <c r="B10" s="13" t="s">
        <v>1786</v>
      </c>
      <c r="C10" s="13" t="n">
        <v>8</v>
      </c>
      <c r="D10" s="13" t="s">
        <v>1751</v>
      </c>
      <c r="E10" s="13" t="s">
        <v>1787</v>
      </c>
      <c r="F10" s="13" t="s">
        <v>1783</v>
      </c>
      <c r="G10" s="13" t="s">
        <v>1788</v>
      </c>
      <c r="H10" s="13" t="s">
        <v>519</v>
      </c>
      <c r="I10" s="13" t="s">
        <v>1789</v>
      </c>
      <c r="J10" s="13" t="n">
        <v>40.029969</v>
      </c>
      <c r="K10" s="13" t="n">
        <v>-83.064114</v>
      </c>
      <c r="L10" s="13" t="n">
        <v>44390</v>
      </c>
      <c r="M10" s="13" t="s">
        <v>1790</v>
      </c>
      <c r="N10" s="355" t="s">
        <v>1780</v>
      </c>
      <c r="O10" s="355" t="s">
        <v>1756</v>
      </c>
      <c r="P10" s="355" t="n">
        <v>2</v>
      </c>
      <c r="Q10" s="355" t="s">
        <v>1619</v>
      </c>
    </row>
    <row r="11" customFormat="false" ht="12.75" hidden="false" customHeight="false" outlineLevel="0" collapsed="false">
      <c r="A11" s="0" t="s">
        <v>1637</v>
      </c>
      <c r="B11" s="13" t="s">
        <v>1791</v>
      </c>
      <c r="C11" s="13" t="n">
        <v>9</v>
      </c>
      <c r="D11" s="13" t="s">
        <v>1751</v>
      </c>
      <c r="E11" s="13" t="s">
        <v>1752</v>
      </c>
      <c r="F11" s="13"/>
      <c r="G11" s="13"/>
      <c r="H11" s="13" t="s">
        <v>519</v>
      </c>
      <c r="I11" s="13" t="s">
        <v>1792</v>
      </c>
      <c r="J11" s="13" t="n">
        <v>40.08410915</v>
      </c>
      <c r="K11" s="13" t="n">
        <v>-82.849034425521</v>
      </c>
      <c r="L11" s="13" t="n">
        <v>44524</v>
      </c>
      <c r="M11" s="13" t="s">
        <v>1754</v>
      </c>
      <c r="N11" s="355" t="s">
        <v>1755</v>
      </c>
      <c r="O11" s="355" t="s">
        <v>1756</v>
      </c>
      <c r="P11" s="355" t="n">
        <v>2</v>
      </c>
      <c r="Q11" s="355" t="s">
        <v>1619</v>
      </c>
    </row>
    <row r="12" customFormat="false" ht="12.75" hidden="false" customHeight="false" outlineLevel="0" collapsed="false">
      <c r="A12" s="0" t="s">
        <v>1639</v>
      </c>
      <c r="B12" s="13" t="s">
        <v>1793</v>
      </c>
      <c r="C12" s="13" t="n">
        <v>10</v>
      </c>
      <c r="D12" s="13" t="s">
        <v>1751</v>
      </c>
      <c r="E12" s="13" t="s">
        <v>1752</v>
      </c>
      <c r="F12" s="13"/>
      <c r="G12" s="13"/>
      <c r="H12" s="13" t="s">
        <v>519</v>
      </c>
      <c r="I12" s="13" t="s">
        <v>1794</v>
      </c>
      <c r="J12" s="13" t="n">
        <v>40.1030397227</v>
      </c>
      <c r="K12" s="13" t="n">
        <v>-83.0968952117266</v>
      </c>
      <c r="L12" s="13" t="n">
        <v>44517</v>
      </c>
      <c r="M12" s="13" t="s">
        <v>1754</v>
      </c>
      <c r="N12" s="356" t="s">
        <v>1755</v>
      </c>
      <c r="O12" s="356" t="s">
        <v>1756</v>
      </c>
      <c r="P12" s="356" t="n">
        <v>2</v>
      </c>
      <c r="Q12" s="356" t="s">
        <v>1632</v>
      </c>
    </row>
    <row r="13" customFormat="false" ht="12.75" hidden="false" customHeight="false" outlineLevel="0" collapsed="false">
      <c r="A13" s="0" t="s">
        <v>1641</v>
      </c>
      <c r="B13" s="13" t="s">
        <v>1795</v>
      </c>
      <c r="C13" s="13" t="n">
        <v>11</v>
      </c>
      <c r="D13" s="13" t="s">
        <v>1751</v>
      </c>
      <c r="E13" s="13" t="s">
        <v>1796</v>
      </c>
      <c r="F13" s="13" t="s">
        <v>1797</v>
      </c>
      <c r="G13" s="13"/>
      <c r="H13" s="13" t="s">
        <v>519</v>
      </c>
      <c r="I13" s="13" t="s">
        <v>1798</v>
      </c>
      <c r="J13" s="13" t="n">
        <v>39.931933</v>
      </c>
      <c r="K13" s="13" t="n">
        <v>-83.1101257334495</v>
      </c>
      <c r="L13" s="13" t="n">
        <v>44313</v>
      </c>
      <c r="M13" s="13" t="n">
        <v>45245</v>
      </c>
      <c r="N13" s="355" t="s">
        <v>1780</v>
      </c>
      <c r="O13" s="355" t="s">
        <v>1756</v>
      </c>
      <c r="P13" s="355" t="n">
        <v>2</v>
      </c>
      <c r="Q13" s="355" t="s">
        <v>1619</v>
      </c>
    </row>
    <row r="14" customFormat="false" ht="12.75" hidden="false" customHeight="false" outlineLevel="0" collapsed="false">
      <c r="A14" s="0" t="s">
        <v>1643</v>
      </c>
      <c r="B14" s="13" t="s">
        <v>1799</v>
      </c>
      <c r="C14" s="13" t="n">
        <v>12</v>
      </c>
      <c r="D14" s="13" t="s">
        <v>1751</v>
      </c>
      <c r="E14" s="13" t="s">
        <v>1800</v>
      </c>
      <c r="F14" s="13" t="s">
        <v>1759</v>
      </c>
      <c r="G14" s="13" t="s">
        <v>1801</v>
      </c>
      <c r="H14" s="13" t="s">
        <v>519</v>
      </c>
      <c r="I14" s="13" t="s">
        <v>1802</v>
      </c>
      <c r="J14" s="13" t="n">
        <v>39.958334</v>
      </c>
      <c r="K14" s="13" t="n">
        <v>-82.875436</v>
      </c>
      <c r="L14" s="13" t="s">
        <v>1803</v>
      </c>
      <c r="M14" s="13" t="s">
        <v>1754</v>
      </c>
      <c r="N14" s="356" t="s">
        <v>1755</v>
      </c>
      <c r="O14" s="356" t="s">
        <v>1756</v>
      </c>
      <c r="P14" s="356" t="n">
        <v>2</v>
      </c>
      <c r="Q14" s="356" t="s">
        <v>1632</v>
      </c>
    </row>
    <row r="15" customFormat="false" ht="12.75" hidden="false" customHeight="false" outlineLevel="0" collapsed="false">
      <c r="A15" s="0" t="s">
        <v>1645</v>
      </c>
      <c r="B15" s="13" t="s">
        <v>1804</v>
      </c>
      <c r="C15" s="13" t="n">
        <v>13</v>
      </c>
      <c r="D15" s="13" t="s">
        <v>1805</v>
      </c>
      <c r="E15" s="13" t="s">
        <v>1806</v>
      </c>
      <c r="F15" s="13" t="s">
        <v>1759</v>
      </c>
      <c r="G15" s="13" t="s">
        <v>1807</v>
      </c>
      <c r="H15" s="13" t="s">
        <v>519</v>
      </c>
      <c r="I15" s="13" t="s">
        <v>1808</v>
      </c>
      <c r="J15" s="13" t="n">
        <v>39.854811</v>
      </c>
      <c r="K15" s="13" t="n">
        <v>-82.899001</v>
      </c>
      <c r="L15" s="13" t="s">
        <v>1803</v>
      </c>
      <c r="M15" s="13" t="s">
        <v>1754</v>
      </c>
      <c r="N15" s="355" t="s">
        <v>1755</v>
      </c>
      <c r="O15" s="355" t="s">
        <v>1756</v>
      </c>
      <c r="P15" s="355" t="n">
        <v>2</v>
      </c>
      <c r="Q15" s="355" t="s">
        <v>1619</v>
      </c>
    </row>
    <row r="16" customFormat="false" ht="12.75" hidden="false" customHeight="false" outlineLevel="0" collapsed="false">
      <c r="A16" s="0" t="s">
        <v>1647</v>
      </c>
      <c r="B16" s="13" t="s">
        <v>1809</v>
      </c>
      <c r="C16" s="13" t="n">
        <v>14</v>
      </c>
      <c r="D16" s="13" t="s">
        <v>1805</v>
      </c>
      <c r="E16" s="13" t="s">
        <v>1810</v>
      </c>
      <c r="F16" s="13" t="s">
        <v>1759</v>
      </c>
      <c r="G16" s="13" t="s">
        <v>1811</v>
      </c>
      <c r="H16" s="13" t="s">
        <v>519</v>
      </c>
      <c r="I16" s="13" t="s">
        <v>1812</v>
      </c>
      <c r="J16" s="13" t="n">
        <v>39.952013</v>
      </c>
      <c r="K16" s="13" t="n">
        <v>-83.15519</v>
      </c>
      <c r="L16" s="13" t="s">
        <v>1803</v>
      </c>
      <c r="M16" s="13" t="s">
        <v>1754</v>
      </c>
      <c r="N16" s="355" t="s">
        <v>1755</v>
      </c>
      <c r="O16" s="355" t="s">
        <v>1756</v>
      </c>
      <c r="P16" s="355" t="n">
        <v>2</v>
      </c>
      <c r="Q16" s="355" t="s">
        <v>1619</v>
      </c>
    </row>
    <row r="17" customFormat="false" ht="12.75" hidden="false" customHeight="false" outlineLevel="0" collapsed="false">
      <c r="A17" s="0" t="s">
        <v>1649</v>
      </c>
      <c r="B17" s="13" t="s">
        <v>1813</v>
      </c>
      <c r="C17" s="13" t="n">
        <v>15</v>
      </c>
      <c r="D17" s="13" t="s">
        <v>1814</v>
      </c>
      <c r="E17" s="13" t="s">
        <v>1815</v>
      </c>
      <c r="F17" s="13" t="s">
        <v>1816</v>
      </c>
      <c r="G17" s="13" t="s">
        <v>1817</v>
      </c>
      <c r="H17" s="13" t="s">
        <v>482</v>
      </c>
      <c r="I17" s="13" t="s">
        <v>1818</v>
      </c>
      <c r="J17" s="13" t="n">
        <v>40.019592</v>
      </c>
      <c r="K17" s="13" t="n">
        <v>-83.010832</v>
      </c>
      <c r="L17" s="13" t="n">
        <v>44497</v>
      </c>
      <c r="M17" s="13" t="s">
        <v>226</v>
      </c>
      <c r="N17" s="355" t="s">
        <v>1762</v>
      </c>
      <c r="O17" s="355" t="s">
        <v>1756</v>
      </c>
      <c r="P17" s="355" t="n">
        <v>1</v>
      </c>
      <c r="Q17" s="355" t="s">
        <v>1619</v>
      </c>
    </row>
    <row r="18" customFormat="false" ht="12.75" hidden="false" customHeight="false" outlineLevel="0" collapsed="false">
      <c r="A18" s="0" t="s">
        <v>1651</v>
      </c>
      <c r="B18" s="13" t="s">
        <v>1819</v>
      </c>
      <c r="C18" s="13" t="n">
        <v>16</v>
      </c>
      <c r="D18" s="13" t="s">
        <v>1820</v>
      </c>
      <c r="E18" s="13" t="s">
        <v>1770</v>
      </c>
      <c r="F18" s="13"/>
      <c r="G18" s="13"/>
      <c r="H18" s="13"/>
      <c r="I18" s="13"/>
      <c r="J18" s="13"/>
      <c r="K18" s="13"/>
      <c r="L18" s="13"/>
      <c r="M18" s="13"/>
      <c r="N18" s="355" t="s">
        <v>1770</v>
      </c>
      <c r="O18" s="355" t="s">
        <v>1756</v>
      </c>
      <c r="P18" s="355" t="n">
        <v>1</v>
      </c>
      <c r="Q18" s="355" t="s">
        <v>1619</v>
      </c>
    </row>
    <row r="19" customFormat="false" ht="12.75" hidden="false" customHeight="false" outlineLevel="0" collapsed="false">
      <c r="A19" s="0" t="s">
        <v>1653</v>
      </c>
      <c r="B19" s="13" t="s">
        <v>1821</v>
      </c>
      <c r="C19" s="13" t="n">
        <v>17</v>
      </c>
      <c r="D19" s="13" t="s">
        <v>1805</v>
      </c>
      <c r="E19" s="13" t="s">
        <v>1822</v>
      </c>
      <c r="F19" s="13" t="s">
        <v>1759</v>
      </c>
      <c r="G19" s="13" t="s">
        <v>1801</v>
      </c>
      <c r="H19" s="13" t="s">
        <v>519</v>
      </c>
      <c r="I19" s="13" t="s">
        <v>1823</v>
      </c>
      <c r="J19" s="13" t="n">
        <v>39.984372</v>
      </c>
      <c r="K19" s="13" t="n">
        <v>-82.814836</v>
      </c>
      <c r="L19" s="13" t="s">
        <v>1803</v>
      </c>
      <c r="M19" s="13" t="s">
        <v>1754</v>
      </c>
      <c r="N19" s="356" t="s">
        <v>1755</v>
      </c>
      <c r="O19" s="356" t="s">
        <v>1756</v>
      </c>
      <c r="P19" s="356" t="n">
        <v>2</v>
      </c>
      <c r="Q19" s="356" t="s">
        <v>1655</v>
      </c>
    </row>
    <row r="20" customFormat="false" ht="12.75" hidden="false" customHeight="false" outlineLevel="0" collapsed="false">
      <c r="A20" s="0" t="s">
        <v>1656</v>
      </c>
      <c r="B20" s="13" t="s">
        <v>1824</v>
      </c>
      <c r="C20" s="13" t="n">
        <v>18</v>
      </c>
      <c r="D20" s="13" t="s">
        <v>1805</v>
      </c>
      <c r="E20" s="13" t="s">
        <v>1825</v>
      </c>
      <c r="F20" s="13" t="s">
        <v>1826</v>
      </c>
      <c r="G20" s="13" t="s">
        <v>1827</v>
      </c>
      <c r="H20" s="13" t="s">
        <v>482</v>
      </c>
      <c r="I20" s="13" t="s">
        <v>1828</v>
      </c>
      <c r="J20" s="13" t="n">
        <v>40.030722</v>
      </c>
      <c r="K20" s="13" t="n">
        <v>-83.028778</v>
      </c>
      <c r="L20" s="13" t="n">
        <v>44424</v>
      </c>
      <c r="M20" s="13" t="s">
        <v>1829</v>
      </c>
      <c r="N20" s="355" t="s">
        <v>1762</v>
      </c>
      <c r="O20" s="355" t="s">
        <v>1756</v>
      </c>
      <c r="P20" s="355" t="n">
        <v>1</v>
      </c>
      <c r="Q20" s="355" t="s">
        <v>1619</v>
      </c>
    </row>
    <row r="21" customFormat="false" ht="12.75" hidden="false" customHeight="false" outlineLevel="0" collapsed="false">
      <c r="A21" s="0" t="s">
        <v>1658</v>
      </c>
      <c r="B21" s="13" t="s">
        <v>1830</v>
      </c>
      <c r="C21" s="13" t="n">
        <v>19</v>
      </c>
      <c r="D21" s="13" t="s">
        <v>1805</v>
      </c>
      <c r="E21" s="13" t="s">
        <v>1831</v>
      </c>
      <c r="F21" s="13" t="s">
        <v>1759</v>
      </c>
      <c r="G21" s="13" t="s">
        <v>1832</v>
      </c>
      <c r="H21" s="13" t="s">
        <v>519</v>
      </c>
      <c r="I21" s="13" t="s">
        <v>1833</v>
      </c>
      <c r="J21" s="13" t="n">
        <v>39.882743</v>
      </c>
      <c r="K21" s="13" t="n">
        <v>-83.06896</v>
      </c>
      <c r="L21" s="13" t="s">
        <v>1803</v>
      </c>
      <c r="M21" s="13" t="s">
        <v>1754</v>
      </c>
      <c r="N21" s="356" t="s">
        <v>1755</v>
      </c>
      <c r="O21" s="356" t="s">
        <v>1756</v>
      </c>
      <c r="P21" s="356" t="n">
        <v>2</v>
      </c>
      <c r="Q21" s="356" t="s">
        <v>1632</v>
      </c>
    </row>
    <row r="22" customFormat="false" ht="12.75" hidden="false" customHeight="false" outlineLevel="0" collapsed="false">
      <c r="A22" s="0" t="s">
        <v>1660</v>
      </c>
      <c r="B22" s="13" t="s">
        <v>1621</v>
      </c>
      <c r="C22" s="13" t="n">
        <v>20</v>
      </c>
      <c r="D22" s="13" t="s">
        <v>1805</v>
      </c>
      <c r="E22" s="13" t="s">
        <v>1834</v>
      </c>
      <c r="F22" s="13" t="s">
        <v>1759</v>
      </c>
      <c r="G22" s="13" t="s">
        <v>1835</v>
      </c>
      <c r="H22" s="13" t="s">
        <v>519</v>
      </c>
      <c r="I22" s="13" t="s">
        <v>1836</v>
      </c>
      <c r="J22" s="13" t="n">
        <v>40.105337501</v>
      </c>
      <c r="K22" s="13" t="n">
        <v>-83.1284905334435</v>
      </c>
      <c r="L22" s="13" t="n">
        <v>44417</v>
      </c>
      <c r="M22" s="13" t="s">
        <v>1790</v>
      </c>
      <c r="N22" s="355" t="s">
        <v>1780</v>
      </c>
      <c r="O22" s="355" t="s">
        <v>1756</v>
      </c>
      <c r="P22" s="355" t="n">
        <v>2</v>
      </c>
      <c r="Q22" s="355" t="s">
        <v>1619</v>
      </c>
    </row>
    <row r="23" customFormat="false" ht="12.75" hidden="false" customHeight="false" outlineLevel="0" collapsed="false">
      <c r="A23" s="0" t="s">
        <v>1662</v>
      </c>
      <c r="B23" s="13" t="s">
        <v>1837</v>
      </c>
      <c r="C23" s="13" t="n">
        <v>21</v>
      </c>
      <c r="D23" s="13" t="s">
        <v>1805</v>
      </c>
      <c r="E23" s="13" t="s">
        <v>1770</v>
      </c>
      <c r="F23" s="13"/>
      <c r="G23" s="13"/>
      <c r="H23" s="13"/>
      <c r="I23" s="13"/>
      <c r="J23" s="13"/>
      <c r="K23" s="13"/>
      <c r="L23" s="13"/>
      <c r="M23" s="13"/>
      <c r="N23" s="355" t="s">
        <v>1770</v>
      </c>
      <c r="O23" s="355" t="s">
        <v>1756</v>
      </c>
      <c r="P23" s="355" t="n">
        <v>1</v>
      </c>
      <c r="Q23" s="355" t="s">
        <v>1619</v>
      </c>
    </row>
    <row r="24" customFormat="false" ht="12.75" hidden="false" customHeight="false" outlineLevel="0" collapsed="false">
      <c r="A24" s="0" t="s">
        <v>1664</v>
      </c>
      <c r="B24" s="13" t="s">
        <v>1838</v>
      </c>
      <c r="C24" s="13" t="n">
        <v>22</v>
      </c>
      <c r="D24" s="13" t="s">
        <v>1764</v>
      </c>
      <c r="E24" s="13" t="s">
        <v>1770</v>
      </c>
      <c r="F24" s="13"/>
      <c r="G24" s="13"/>
      <c r="H24" s="13"/>
      <c r="I24" s="13"/>
      <c r="J24" s="13"/>
      <c r="K24" s="13"/>
      <c r="L24" s="13"/>
      <c r="M24" s="13"/>
      <c r="N24" s="355" t="s">
        <v>1770</v>
      </c>
      <c r="O24" s="355" t="s">
        <v>1756</v>
      </c>
      <c r="P24" s="355" t="n">
        <v>1</v>
      </c>
      <c r="Q24" s="355" t="s">
        <v>1619</v>
      </c>
    </row>
    <row r="25" customFormat="false" ht="12.75" hidden="false" customHeight="false" outlineLevel="0" collapsed="false">
      <c r="A25" s="0" t="s">
        <v>1666</v>
      </c>
      <c r="B25" s="13" t="s">
        <v>1839</v>
      </c>
      <c r="C25" s="13" t="n">
        <v>23</v>
      </c>
      <c r="D25" s="13" t="s">
        <v>1764</v>
      </c>
      <c r="E25" s="13" t="s">
        <v>1840</v>
      </c>
      <c r="F25" s="13" t="s">
        <v>1841</v>
      </c>
      <c r="G25" s="13" t="s">
        <v>1842</v>
      </c>
      <c r="H25" s="13" t="s">
        <v>482</v>
      </c>
      <c r="I25" s="13" t="s">
        <v>1843</v>
      </c>
      <c r="J25" s="13" t="n">
        <v>40.0903415250807</v>
      </c>
      <c r="K25" s="13" t="n">
        <v>-83.0249011697717</v>
      </c>
      <c r="L25" s="13" t="n">
        <v>44391</v>
      </c>
      <c r="M25" s="13" t="n">
        <v>45245</v>
      </c>
      <c r="N25" s="355" t="s">
        <v>1780</v>
      </c>
      <c r="O25" s="355" t="s">
        <v>1756</v>
      </c>
      <c r="P25" s="355" t="n">
        <v>2</v>
      </c>
      <c r="Q25" s="355" t="s">
        <v>1619</v>
      </c>
    </row>
    <row r="26" customFormat="false" ht="12.75" hidden="false" customHeight="false" outlineLevel="0" collapsed="false">
      <c r="A26" s="0" t="s">
        <v>1668</v>
      </c>
      <c r="B26" s="13" t="s">
        <v>1844</v>
      </c>
      <c r="C26" s="13" t="n">
        <v>24</v>
      </c>
      <c r="D26" s="13" t="s">
        <v>1764</v>
      </c>
      <c r="E26" s="13" t="s">
        <v>1770</v>
      </c>
      <c r="F26" s="13"/>
      <c r="G26" s="13"/>
      <c r="H26" s="13"/>
      <c r="I26" s="13"/>
      <c r="J26" s="13"/>
      <c r="K26" s="13"/>
      <c r="L26" s="13"/>
      <c r="M26" s="13"/>
      <c r="N26" s="355" t="s">
        <v>1770</v>
      </c>
      <c r="O26" s="355" t="s">
        <v>1756</v>
      </c>
      <c r="P26" s="355" t="n">
        <v>1</v>
      </c>
      <c r="Q26" s="355" t="s">
        <v>1619</v>
      </c>
    </row>
    <row r="27" customFormat="false" ht="12.75" hidden="false" customHeight="false" outlineLevel="0" collapsed="false">
      <c r="A27" s="0" t="s">
        <v>1672</v>
      </c>
      <c r="B27" s="13" t="s">
        <v>1845</v>
      </c>
      <c r="C27" s="13" t="n">
        <v>25</v>
      </c>
      <c r="D27" s="13" t="s">
        <v>1764</v>
      </c>
      <c r="E27" s="13" t="s">
        <v>1846</v>
      </c>
      <c r="F27" s="13"/>
      <c r="G27" s="13"/>
      <c r="H27" s="13"/>
      <c r="I27" s="13"/>
      <c r="J27" s="13"/>
      <c r="K27" s="13"/>
      <c r="L27" s="13"/>
      <c r="M27" s="13"/>
      <c r="N27" s="355" t="s">
        <v>1847</v>
      </c>
      <c r="O27" s="355" t="s">
        <v>1756</v>
      </c>
      <c r="P27" s="355" t="n">
        <v>1</v>
      </c>
      <c r="Q27" s="355" t="s">
        <v>1619</v>
      </c>
    </row>
    <row r="28" customFormat="false" ht="12.75" hidden="false" customHeight="false" outlineLevel="0" collapsed="false">
      <c r="A28" s="0" t="s">
        <v>1676</v>
      </c>
      <c r="B28" s="13" t="s">
        <v>1848</v>
      </c>
      <c r="C28" s="13" t="n">
        <v>26</v>
      </c>
      <c r="D28" s="13" t="s">
        <v>1764</v>
      </c>
      <c r="E28" s="13" t="s">
        <v>1849</v>
      </c>
      <c r="F28" s="13"/>
      <c r="G28" s="13"/>
      <c r="H28" s="13"/>
      <c r="I28" s="13" t="s">
        <v>1850</v>
      </c>
      <c r="J28" s="13" t="n">
        <v>40.074803</v>
      </c>
      <c r="K28" s="13" t="n">
        <v>-83.076404</v>
      </c>
      <c r="L28" s="13" t="n">
        <v>44393</v>
      </c>
      <c r="M28" s="13" t="s">
        <v>1851</v>
      </c>
      <c r="N28" s="355"/>
      <c r="O28" s="355" t="s">
        <v>1756</v>
      </c>
      <c r="P28" s="355" t="n">
        <v>1</v>
      </c>
      <c r="Q28" s="355" t="s">
        <v>1619</v>
      </c>
    </row>
    <row r="29" customFormat="false" ht="12.75" hidden="false" customHeight="false" outlineLevel="0" collapsed="false">
      <c r="A29" s="0" t="s">
        <v>1680</v>
      </c>
      <c r="B29" s="13" t="s">
        <v>1852</v>
      </c>
      <c r="C29" s="13" t="n">
        <v>27</v>
      </c>
      <c r="D29" s="13" t="s">
        <v>1820</v>
      </c>
      <c r="E29" s="13" t="s">
        <v>1853</v>
      </c>
      <c r="F29" s="13" t="s">
        <v>1783</v>
      </c>
      <c r="G29" s="13"/>
      <c r="H29" s="13" t="s">
        <v>519</v>
      </c>
      <c r="I29" s="13"/>
      <c r="J29" s="13"/>
      <c r="K29" s="13"/>
      <c r="L29" s="13" t="n">
        <v>44258</v>
      </c>
      <c r="M29" s="13"/>
      <c r="N29" s="59" t="s">
        <v>1854</v>
      </c>
      <c r="O29" s="59"/>
      <c r="P29" s="59"/>
      <c r="Q29" s="59"/>
    </row>
    <row r="30" customFormat="false" ht="12.75" hidden="false" customHeight="false" outlineLevel="0" collapsed="false">
      <c r="A30" s="0" t="s">
        <v>1685</v>
      </c>
      <c r="B30" s="13" t="s">
        <v>1855</v>
      </c>
      <c r="C30" s="13" t="n">
        <v>28</v>
      </c>
      <c r="D30" s="13" t="s">
        <v>1764</v>
      </c>
      <c r="E30" s="13" t="s">
        <v>1849</v>
      </c>
      <c r="F30" s="13"/>
      <c r="G30" s="13"/>
      <c r="H30" s="13" t="s">
        <v>519</v>
      </c>
      <c r="I30" s="13"/>
      <c r="J30" s="13" t="n">
        <v>40.077346081</v>
      </c>
      <c r="K30" s="13" t="n">
        <v>-83.0732971586219</v>
      </c>
      <c r="L30" s="13" t="n">
        <v>44474</v>
      </c>
      <c r="M30" s="13" t="s">
        <v>36</v>
      </c>
      <c r="N30" s="356" t="s">
        <v>1856</v>
      </c>
      <c r="O30" s="356" t="s">
        <v>1756</v>
      </c>
      <c r="P30" s="356" t="n">
        <v>1</v>
      </c>
      <c r="Q30" s="357" t="s">
        <v>1689</v>
      </c>
    </row>
    <row r="31" customFormat="false" ht="12.75" hidden="false" customHeight="false" outlineLevel="0" collapsed="false">
      <c r="A31" s="0" t="s">
        <v>1690</v>
      </c>
      <c r="B31" s="13" t="s">
        <v>1857</v>
      </c>
      <c r="C31" s="13" t="n">
        <v>29</v>
      </c>
      <c r="D31" s="13" t="s">
        <v>1820</v>
      </c>
      <c r="E31" s="13" t="s">
        <v>1858</v>
      </c>
      <c r="F31" s="13"/>
      <c r="G31" s="13"/>
      <c r="H31" s="13" t="s">
        <v>519</v>
      </c>
      <c r="I31" s="13" t="s">
        <v>1859</v>
      </c>
      <c r="J31" s="13" t="n">
        <v>40.117135539</v>
      </c>
      <c r="K31" s="13" t="n">
        <v>-83.0517489720585</v>
      </c>
      <c r="L31" s="13" t="n">
        <v>44332</v>
      </c>
      <c r="M31" s="13" t="n">
        <v>45243</v>
      </c>
      <c r="N31" s="356" t="s">
        <v>1780</v>
      </c>
      <c r="O31" s="356" t="s">
        <v>1756</v>
      </c>
      <c r="P31" s="356" t="n">
        <v>2</v>
      </c>
      <c r="Q31" s="356" t="s">
        <v>1655</v>
      </c>
    </row>
    <row r="32" customFormat="false" ht="12.75" hidden="false" customHeight="false" outlineLevel="0" collapsed="false">
      <c r="A32" s="0" t="s">
        <v>1694</v>
      </c>
      <c r="B32" s="13" t="s">
        <v>1860</v>
      </c>
      <c r="C32" s="13" t="n">
        <v>30</v>
      </c>
      <c r="D32" s="13" t="s">
        <v>1820</v>
      </c>
      <c r="E32" s="13" t="s">
        <v>1846</v>
      </c>
      <c r="F32" s="13"/>
      <c r="G32" s="13"/>
      <c r="H32" s="13"/>
      <c r="I32" s="13"/>
      <c r="J32" s="13"/>
      <c r="K32" s="13"/>
      <c r="L32" s="13"/>
      <c r="M32" s="13"/>
      <c r="N32" s="59" t="s">
        <v>1625</v>
      </c>
      <c r="O32" s="59"/>
      <c r="P32" s="59"/>
      <c r="Q32" s="59"/>
    </row>
    <row r="33" customFormat="false" ht="12.75" hidden="false" customHeight="false" outlineLevel="0" collapsed="false">
      <c r="A33" s="0" t="s">
        <v>1698</v>
      </c>
      <c r="B33" s="13" t="s">
        <v>1861</v>
      </c>
      <c r="C33" s="13" t="n">
        <v>31</v>
      </c>
      <c r="D33" s="13" t="s">
        <v>1820</v>
      </c>
      <c r="E33" s="13" t="s">
        <v>1862</v>
      </c>
      <c r="F33" s="13"/>
      <c r="G33" s="13"/>
      <c r="H33" s="13" t="s">
        <v>519</v>
      </c>
      <c r="I33" s="13" t="s">
        <v>1863</v>
      </c>
      <c r="J33" s="13" t="n">
        <v>40.047701509</v>
      </c>
      <c r="K33" s="13" t="n">
        <v>-82.9395910052867</v>
      </c>
      <c r="L33" s="13" t="n">
        <v>44332</v>
      </c>
      <c r="M33" s="13" t="n">
        <v>45243</v>
      </c>
      <c r="N33" s="355" t="s">
        <v>1780</v>
      </c>
      <c r="O33" s="355" t="s">
        <v>1756</v>
      </c>
      <c r="P33" s="355" t="n">
        <v>2</v>
      </c>
      <c r="Q33" s="355" t="s">
        <v>1619</v>
      </c>
    </row>
    <row r="34" customFormat="false" ht="12.75" hidden="false" customHeight="false" outlineLevel="0" collapsed="false">
      <c r="A34" s="0" t="s">
        <v>1702</v>
      </c>
      <c r="B34" s="13" t="s">
        <v>1864</v>
      </c>
      <c r="C34" s="13" t="n">
        <v>32</v>
      </c>
      <c r="D34" s="13" t="s">
        <v>1820</v>
      </c>
      <c r="E34" s="13" t="s">
        <v>1770</v>
      </c>
      <c r="F34" s="13"/>
      <c r="G34" s="13"/>
      <c r="H34" s="13" t="s">
        <v>482</v>
      </c>
      <c r="I34" s="13" t="s">
        <v>1865</v>
      </c>
      <c r="J34" s="13"/>
      <c r="K34" s="13"/>
      <c r="L34" s="13"/>
      <c r="M34" s="13"/>
      <c r="N34" s="59" t="s">
        <v>1706</v>
      </c>
      <c r="O34" s="59"/>
      <c r="P34" s="59"/>
      <c r="Q34" s="59"/>
    </row>
    <row r="35" customFormat="false" ht="12.75" hidden="false" customHeight="false" outlineLevel="0" collapsed="false">
      <c r="A35" s="0" t="s">
        <v>1707</v>
      </c>
      <c r="B35" s="13" t="s">
        <v>1866</v>
      </c>
      <c r="C35" s="13" t="n">
        <v>33</v>
      </c>
      <c r="D35" s="13" t="s">
        <v>1820</v>
      </c>
      <c r="E35" s="13" t="s">
        <v>1752</v>
      </c>
      <c r="F35" s="13"/>
      <c r="G35" s="13"/>
      <c r="H35" s="13" t="s">
        <v>519</v>
      </c>
      <c r="I35" s="13" t="s">
        <v>1867</v>
      </c>
      <c r="J35" s="13" t="n">
        <v>39.9787730713</v>
      </c>
      <c r="K35" s="13" t="n">
        <v>-82.9626539199575</v>
      </c>
      <c r="L35" s="13" t="n">
        <v>44538</v>
      </c>
      <c r="M35" s="13" t="s">
        <v>1754</v>
      </c>
      <c r="N35" s="355" t="s">
        <v>1755</v>
      </c>
      <c r="O35" s="355" t="s">
        <v>1756</v>
      </c>
      <c r="P35" s="355" t="n">
        <v>2</v>
      </c>
      <c r="Q35" s="355" t="s">
        <v>1619</v>
      </c>
    </row>
    <row r="36" customFormat="false" ht="12.75" hidden="false" customHeight="false" outlineLevel="0" collapsed="false">
      <c r="A36" s="0" t="s">
        <v>1711</v>
      </c>
      <c r="B36" s="13" t="s">
        <v>1868</v>
      </c>
      <c r="C36" s="13" t="n">
        <v>34</v>
      </c>
      <c r="D36" s="13" t="s">
        <v>1820</v>
      </c>
      <c r="E36" s="13" t="s">
        <v>1752</v>
      </c>
      <c r="F36" s="13"/>
      <c r="G36" s="13"/>
      <c r="H36" s="13" t="s">
        <v>519</v>
      </c>
      <c r="I36" s="13" t="s">
        <v>1869</v>
      </c>
      <c r="J36" s="13" t="n">
        <v>39.97869563</v>
      </c>
      <c r="K36" s="13" t="n">
        <v>-83.0229720470166</v>
      </c>
      <c r="L36" s="13" t="n">
        <v>44530</v>
      </c>
      <c r="M36" s="13" t="s">
        <v>1754</v>
      </c>
      <c r="N36" s="356" t="s">
        <v>1755</v>
      </c>
      <c r="O36" s="356" t="s">
        <v>1756</v>
      </c>
      <c r="P36" s="356" t="n">
        <v>2</v>
      </c>
      <c r="Q36" s="356" t="s">
        <v>1632</v>
      </c>
    </row>
    <row r="37" customFormat="false" ht="12.75" hidden="false" customHeight="false" outlineLevel="0" collapsed="false">
      <c r="A37" s="0" t="s">
        <v>1715</v>
      </c>
      <c r="B37" s="13" t="s">
        <v>1870</v>
      </c>
      <c r="C37" s="13" t="n">
        <v>35</v>
      </c>
      <c r="D37" s="13" t="s">
        <v>1820</v>
      </c>
      <c r="E37" s="13" t="s">
        <v>1770</v>
      </c>
      <c r="F37" s="13"/>
      <c r="G37" s="13"/>
      <c r="H37" s="13"/>
      <c r="I37" s="13"/>
      <c r="J37" s="13"/>
      <c r="K37" s="13"/>
      <c r="L37" s="13"/>
      <c r="M37" s="13"/>
      <c r="N37" s="59" t="s">
        <v>1871</v>
      </c>
      <c r="O37" s="59"/>
      <c r="P37" s="59"/>
      <c r="Q37" s="59"/>
    </row>
    <row r="38" customFormat="false" ht="12.75" hidden="false" customHeight="false" outlineLevel="0" collapsed="false">
      <c r="A38" s="0" t="s">
        <v>1720</v>
      </c>
      <c r="B38" s="13" t="s">
        <v>1872</v>
      </c>
      <c r="C38" s="13" t="n">
        <v>36</v>
      </c>
      <c r="D38" s="13" t="s">
        <v>1814</v>
      </c>
      <c r="E38" s="13" t="s">
        <v>909</v>
      </c>
      <c r="F38" s="13"/>
      <c r="G38" s="13"/>
      <c r="H38" s="13" t="s">
        <v>519</v>
      </c>
      <c r="I38" s="13" t="s">
        <v>909</v>
      </c>
      <c r="J38" s="13"/>
      <c r="K38" s="13"/>
      <c r="L38" s="13"/>
      <c r="M38" s="13"/>
      <c r="N38" s="59" t="s">
        <v>1854</v>
      </c>
      <c r="O38" s="59"/>
      <c r="P38" s="59"/>
      <c r="Q38" s="59"/>
    </row>
    <row r="39" customFormat="false" ht="12.75" hidden="false" customHeight="false" outlineLevel="0" collapsed="false">
      <c r="A39" s="0" t="s">
        <v>1724</v>
      </c>
      <c r="B39" s="13" t="s">
        <v>1873</v>
      </c>
      <c r="C39" s="13" t="n">
        <v>37</v>
      </c>
      <c r="D39" s="13" t="s">
        <v>1814</v>
      </c>
      <c r="E39" s="13" t="s">
        <v>1874</v>
      </c>
      <c r="F39" s="13" t="s">
        <v>1841</v>
      </c>
      <c r="G39" s="13" t="s">
        <v>1875</v>
      </c>
      <c r="H39" s="13" t="s">
        <v>482</v>
      </c>
      <c r="I39" s="13" t="s">
        <v>1876</v>
      </c>
      <c r="J39" s="13" t="n">
        <v>39.9404279110757</v>
      </c>
      <c r="K39" s="13" t="n">
        <v>-82.7949255596326</v>
      </c>
      <c r="L39" s="13" t="n">
        <v>44502</v>
      </c>
      <c r="M39" s="13"/>
      <c r="N39" s="59" t="s">
        <v>1854</v>
      </c>
      <c r="O39" s="59"/>
      <c r="P39" s="59"/>
      <c r="Q39" s="59"/>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1CF0DC278140D478362755D94A58DE9" ma:contentTypeVersion="16" ma:contentTypeDescription="Create a new document." ma:contentTypeScope="" ma:versionID="44cd1e27612f1f7cce878fa9064a9c5d">
  <xsd:schema xmlns:xsd="http://www.w3.org/2001/XMLSchema" xmlns:xs="http://www.w3.org/2001/XMLSchema" xmlns:p="http://schemas.microsoft.com/office/2006/metadata/properties" xmlns:ns2="de9eecb0-d1ba-4f9c-8665-11214d83daff" xmlns:ns3="29ce15c6-1789-44ef-86ff-fb0f874fa56b" targetNamespace="http://schemas.microsoft.com/office/2006/metadata/properties" ma:root="true" ma:fieldsID="4cd1510b5316cdfca4569d43b9b55608" ns2:_="" ns3:_="">
    <xsd:import namespace="de9eecb0-d1ba-4f9c-8665-11214d83daff"/>
    <xsd:import namespace="29ce15c6-1789-44ef-86ff-fb0f874fa56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time"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9eecb0-d1ba-4f9c-8665-11214d83da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6efb5800-55b3-49b1-8deb-cdf767c99570"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time" ma:index="20" nillable="true" ma:displayName="time" ma:format="DateTime" ma:internalName="time">
      <xsd:simpleType>
        <xsd:restriction base="dms:DateTim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ce15c6-1789-44ef-86ff-fb0f874fa56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1be9ff39-0d7a-4e58-9a61-5beb61fb15cf}" ma:internalName="TaxCatchAll" ma:showField="CatchAllData" ma:web="29ce15c6-1789-44ef-86ff-fb0f874fa56b">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e9eecb0-d1ba-4f9c-8665-11214d83daff">
      <Terms xmlns="http://schemas.microsoft.com/office/infopath/2007/PartnerControls"/>
    </lcf76f155ced4ddcb4097134ff3c332f>
    <TaxCatchAll xmlns="29ce15c6-1789-44ef-86ff-fb0f874fa56b" xsi:nil="true"/>
    <time xmlns="de9eecb0-d1ba-4f9c-8665-11214d83daf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599E587-7EA1-4480-846E-BBA78ECB31AF}"/>
</file>

<file path=customXml/itemProps2.xml><?xml version="1.0" encoding="utf-8"?>
<ds:datastoreItem xmlns:ds="http://schemas.openxmlformats.org/officeDocument/2006/customXml" ds:itemID="{5D68F0DC-9318-4A1C-92E5-E5E96691B188}"/>
</file>

<file path=customXml/itemProps3.xml><?xml version="1.0" encoding="utf-8"?>
<ds:datastoreItem xmlns:ds="http://schemas.openxmlformats.org/officeDocument/2006/customXml" ds:itemID="{112AC346-A3E2-4CEC-BD28-95C002EDB12B}"/>
</file>

<file path=docProps/app.xml><?xml version="1.0" encoding="utf-8"?>
<Properties xmlns="http://schemas.openxmlformats.org/officeDocument/2006/extended-properties" xmlns:vt="http://schemas.openxmlformats.org/officeDocument/2006/docPropsVTypes">
  <Template/>
  <TotalTime>1171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2022-12-02T15:18:09Z</dcterms:created>
  <dc:creator/>
  <dc:description/>
  <dc:language>en-US</dc:language>
  <cp:lastModifiedBy/>
  <dcterms:modified xsi:type="dcterms:W3CDTF">2025-10-29T09:19:56Z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0x010100E1CF0DC278140D478362755D94A58DE9</vt:lpwstr>
  </property>
  <property fmtid="{D5CDD505-2E9C-101B-9397-08002B2CF9AE}" pid="3" name="MediaServiceImageTags">
    <vt:lpwstr/>
  </property>
</Properties>
</file>